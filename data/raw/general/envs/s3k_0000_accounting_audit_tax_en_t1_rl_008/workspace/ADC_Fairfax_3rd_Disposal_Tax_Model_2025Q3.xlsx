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Compariso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ax Basis" sheetId="3" state="visible" r:id="rId3"/>
    <sheet xmlns:r="http://schemas.openxmlformats.org/officeDocument/2006/relationships" name="Depreciation" sheetId="4" state="visible" r:id="rId4"/>
    <sheet xmlns:r="http://schemas.openxmlformats.org/officeDocument/2006/relationships" name="Direct Sale" sheetId="5" state="visible" r:id="rId5"/>
    <sheet xmlns:r="http://schemas.openxmlformats.org/officeDocument/2006/relationships" name="Installment Sale" sheetId="6" state="visible" r:id="rId6"/>
    <sheet xmlns:r="http://schemas.openxmlformats.org/officeDocument/2006/relationships" name="Equity Transfer" sheetId="7" state="visible" r:id="rId7"/>
    <sheet xmlns:r="http://schemas.openxmlformats.org/officeDocument/2006/relationships" name="LA Transfer Tax" sheetId="8" state="visible" r:id="rId8"/>
    <sheet xmlns:r="http://schemas.openxmlformats.org/officeDocument/2006/relationships" name="Sources &amp; Controls" sheetId="9" state="visible" r:id="rId9"/>
    <sheet xmlns:r="http://schemas.openxmlformats.org/officeDocument/2006/relationships" name="Calc Draft" sheetId="10" state="hidden" r:id="rId10"/>
  </sheets>
  <definedNames>
    <definedName name="Sale_Date">'Assumptions'!$D$10</definedName>
    <definedName name="Gross_Sale_Price">'Assumptions'!$D$14</definedName>
    <definedName name="Selling_Costs">'Assumptions'!$D$15</definedName>
    <definedName name="Debt_Remaining">'Assumptions'!$D$16</definedName>
    <definedName name="Cash_Equity_Consideration">'Assumptions'!$D$17</definedName>
    <definedName name="Basis_Bridge">'Assumptions'!$D$19</definedName>
    <definedName name="Installment_Rate">'Assumptions'!$D$34</definedName>
    <definedName name="CA_Withholding_Rate">'Assumptions'!$D$35</definedName>
    <definedName name="Assumed_Liabilities">'Assumptions'!$D$37</definedName>
    <definedName name="Assumption_Section_1245">'Assumptions'!$D$25</definedName>
    <definedName name="Assumption_Section_291">'Assumptions'!$D$26</definedName>
    <definedName name="Assumption_Unrecaptured_1250">'Assumptions'!$D$27</definedName>
    <definedName name="Assumption_Residual_1231">'Assumptions'!$D$28</definedName>
    <definedName name="Model_As_Of">'Assumptions'!$D$6</definedName>
    <definedName name="Adjusted_Tax_Basis">'Tax Basis'!$J$88</definedName>
    <definedName name="Direct_Sale_Total_Gain">'Direct Sale'!$H$44</definedName>
    <definedName name="Section_1245_Recapture">'Direct Sale'!$H$35</definedName>
    <definedName name="Section_291_Income">'Direct Sale'!$H$36</definedName>
    <definedName name="Unrecaptured_1250_Gain">'Direct Sale'!$H$37</definedName>
    <definedName name="Residual_1231_Gain">'Direct Sale'!$H$38</definedName>
    <definedName name="Installment_Contract_Price">'Installment Sale'!$H$14</definedName>
    <definedName name="Installment_Eligible_Gain">'Installment Sale'!$H$15</definedName>
    <definedName name="Partnership_Outside_Basis">'Equity Transfer'!$H$20</definedName>
    <definedName name="Partnership_Total_Gain">'Equity Transfer'!$H$36</definedName>
    <definedName name="LA_DTT_Exposure">'LA Transfer Tax'!$F$27</definedName>
    <definedName name="_xlnm._FilterDatabase" localSheetId="0" hidden="1">'Structure Comparison'!$A$15:$I$24</definedName>
    <definedName name="_xlnm._FilterDatabase" localSheetId="1" hidden="1">'Assumptions'!$A$5:$J$57</definedName>
    <definedName name="_xlnm._FilterDatabase" localSheetId="2" hidden="1">'Tax Basis'!$A$7:$M$87</definedName>
    <definedName name="_xlnm._FilterDatabase" localSheetId="3" hidden="1">'Depreciation'!$A$7:$M$137</definedName>
    <definedName name="_xlnm._FilterDatabase" localSheetId="4" hidden="1">'Direct Sale'!$A$33:$I$48</definedName>
    <definedName name="_xlnm._FilterDatabase" localSheetId="5" hidden="1">'Installment Sale'!$A$28:$L$38</definedName>
    <definedName name="_xlnm._FilterDatabase" localSheetId="6" hidden="1">'Equity Transfer'!$A$28:$I$50</definedName>
    <definedName name="_xlnm._FilterDatabase" localSheetId="7" hidden="1">'LA Transfer Tax'!$A$11:$I$24</definedName>
    <definedName name="_xlnm._FilterDatabase" localSheetId="8" hidden="1">'Sources &amp; Controls'!$A$9:$J$31</definedName>
    <definedName name="_xlnm._FilterDatabase" localSheetId="9" hidden="1">'Calc Draft'!$A$7:$H$25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d, yyyy"/>
    <numFmt numFmtId="166" formatCode="$#,##0.00;[Red]($#,##0.00);-"/>
    <numFmt numFmtId="167" formatCode="0.000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9C6500"/>
      <sz val="9"/>
    </font>
    <font>
      <name val="Arial"/>
      <color rgb="00000000"/>
      <sz val="9"/>
    </font>
    <font>
      <name val="Arial"/>
      <color rgb="00666666"/>
      <sz val="9"/>
    </font>
    <font>
      <name val="Arial"/>
      <b val="1"/>
      <sz val="9"/>
    </font>
    <font>
      <name val="Arial"/>
      <b val="1"/>
      <color rgb="00000000"/>
      <sz val="9"/>
    </font>
    <font>
      <name val="Calibri"/>
      <family val="2"/>
      <color theme="10"/>
      <sz val="12"/>
      <scheme val="minor"/>
    </font>
    <font>
      <name val="Arial"/>
      <i val="1"/>
      <color rgb="00777777"/>
      <sz val="8"/>
    </font>
    <font>
      <name val="Arial"/>
      <color rgb="00008000"/>
      <sz val="9"/>
    </font>
    <font>
      <name val="Arial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002D62"/>
      </patternFill>
    </fill>
    <fill>
      <patternFill patternType="solid">
        <fgColor rgb="00E2E2E2"/>
      </patternFill>
    </fill>
    <fill>
      <patternFill patternType="solid">
        <fgColor rgb="00FFF2CC"/>
      </patternFill>
    </fill>
    <fill>
      <patternFill patternType="solid">
        <fgColor rgb="00F49B42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bottom style="medium">
        <color rgb="00002D62"/>
      </bottom>
    </border>
    <border>
      <bottom style="thin">
        <color rgb="00D9D9D9"/>
      </bottom>
    </border>
    <border>
      <top style="medium">
        <color rgb="00F49B42"/>
      </top>
    </border>
  </borders>
  <cellStyleXfs count="2">
    <xf numFmtId="0" fontId="0" fillId="0" borderId="0"/>
    <xf numFmtId="0" fontId="11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10" fontId="7" fillId="0" borderId="2" applyAlignment="1" pivotButton="0" quotePrefix="0" xfId="0">
      <alignment vertical="top" wrapText="1"/>
    </xf>
    <xf numFmtId="166" fontId="13" fillId="0" borderId="2" applyAlignment="1" pivotButton="0" quotePrefix="0" xfId="0">
      <alignment vertical="top" wrapText="1"/>
    </xf>
    <xf numFmtId="2" fontId="7" fillId="0" borderId="2" applyAlignment="1" pivotButton="0" quotePrefix="0" xfId="0">
      <alignment vertical="top" wrapText="1"/>
    </xf>
    <xf numFmtId="166" fontId="7" fillId="0" borderId="2" applyAlignment="1" pivotButton="0" quotePrefix="0" xfId="0">
      <alignment vertical="top" wrapText="1"/>
    </xf>
    <xf numFmtId="0" fontId="7" fillId="2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164" fontId="7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165" fontId="7" fillId="0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167" fontId="7" fillId="0" borderId="2" applyAlignment="1" pivotButton="0" quotePrefix="0" xfId="0">
      <alignment vertical="top" wrapText="1"/>
    </xf>
    <xf numFmtId="3" fontId="7" fillId="0" borderId="2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14" fillId="0" borderId="0" pivotButton="0" quotePrefix="0" xfId="0"/>
    <xf numFmtId="0" fontId="9" fillId="5" borderId="3" pivotButton="0" quotePrefix="0" xfId="0"/>
    <xf numFmtId="166" fontId="7" fillId="5" borderId="3" pivotButton="0" quotePrefix="0" xfId="0"/>
    <xf numFmtId="0" fontId="13" fillId="0" borderId="2" applyAlignment="1" pivotButton="0" quotePrefix="0" xfId="0">
      <alignment vertical="top" wrapText="1"/>
    </xf>
    <xf numFmtId="165" fontId="13" fillId="0" borderId="2" applyAlignment="1" pivotButton="0" quotePrefix="0" xfId="0">
      <alignment vertical="top" wrapText="1"/>
    </xf>
    <xf numFmtId="0" fontId="12" fillId="0" borderId="0" pivotButton="0" quotePrefix="0" xfId="0"/>
    <xf numFmtId="166" fontId="7" fillId="6" borderId="2" applyAlignment="1" pivotButton="0" quotePrefix="0" xfId="0">
      <alignment vertical="top" wrapText="1"/>
    </xf>
    <xf numFmtId="166" fontId="7" fillId="3" borderId="2" applyAlignment="1" pivotButton="0" quotePrefix="0" xfId="0">
      <alignment vertical="top" wrapText="1"/>
    </xf>
    <xf numFmtId="166" fontId="7" fillId="7" borderId="2" applyAlignment="1" pivotButton="0" quotePrefix="0" xfId="0">
      <alignment vertical="top" wrapText="1"/>
    </xf>
    <xf numFmtId="166" fontId="7" fillId="8" borderId="2" applyAlignment="1" pivotButton="0" quotePrefix="0" xfId="0">
      <alignment vertical="top" wrapText="1"/>
    </xf>
    <xf numFmtId="166" fontId="7" fillId="5" borderId="2" applyAlignment="1" pivotButton="0" quotePrefix="0" xfId="0">
      <alignment vertical="top" wrapText="1"/>
    </xf>
    <xf numFmtId="166" fontId="7" fillId="0" borderId="0" pivotButton="0" quotePrefix="0" xfId="0"/>
    <xf numFmtId="166" fontId="7" fillId="5" borderId="0" pivotButton="0" quotePrefix="0" xfId="0"/>
    <xf numFmtId="166" fontId="7" fillId="4" borderId="0" pivotButton="0" quotePrefix="0" xfId="0"/>
    <xf numFmtId="166" fontId="13" fillId="6" borderId="2" applyAlignment="1" pivotButton="0" quotePrefix="0" xfId="0">
      <alignment vertical="top" wrapText="1"/>
    </xf>
    <xf numFmtId="0" fontId="7" fillId="0" borderId="2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dxfs count="9">
    <dxf>
      <font>
        <b val="1"/>
        <color rgb="00FFFFFF"/>
      </font>
      <fill>
        <patternFill patternType="solid">
          <fgColor rgb="00F49B42"/>
        </patternFill>
      </fill>
    </dxf>
    <dxf>
      <fill>
        <patternFill patternType="solid">
          <fgColor rgb="00FFF2CC"/>
        </patternFill>
      </fill>
    </dxf>
    <dxf>
      <font>
        <color rgb="009C6500"/>
      </font>
      <fill>
        <patternFill patternType="solid">
          <fgColor rgb="00FFF2CC"/>
        </patternFill>
      </fill>
    </dxf>
    <dxf>
      <border>
        <left style="thin">
          <color rgb="00C00000"/>
        </left>
        <right style="thin">
          <color rgb="00C00000"/>
        </right>
        <top style="thin">
          <color rgb="00C00000"/>
        </top>
        <bottom style="thin">
          <color rgb="00C00000"/>
        </bottom>
      </border>
    </dxf>
    <dxf>
      <font>
        <b val="1"/>
        <color rgb="00FFFFFF"/>
      </font>
      <fill>
        <patternFill patternType="solid">
          <fgColor rgb="00C0000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2E2"/>
        </patternFill>
      </fill>
    </dxf>
    <dxf>
      <fill>
        <patternFill patternType="solid">
          <fgColor rgb="00D9EAD3"/>
        </patternFill>
      </fill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Structure Score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'Structure Comparison'!$C$15:$E$15</f>
            </numRef>
          </cat>
          <val>
            <numRef>
              <f>'Structure Comparison'!$C$25:$E$25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Weighted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Structure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Direct-Sale Federal Gain Character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'Direct Sale'!$B$35:$B$38</f>
            </numRef>
          </cat>
          <val>
            <numRef>
              <f>'Direct Sale'!$H$35:$H$38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Installment Gain Recognition and Deferred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'Installment Sale'!J28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'Installment Sale'!$A$29:$A$38</f>
            </numRef>
          </cat>
          <val>
            <numRef>
              <f>'Installment Sale'!$J$29:$J$38</f>
            </numRef>
          </val>
        </ser>
        <ser>
          <idx val="1"/>
          <order val="1"/>
          <tx>
            <strRef>
              <f>'Installment Sale'!K28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'Installment Sale'!$A$29:$A$38</f>
            </numRef>
          </cat>
          <val>
            <numRef>
              <f>'Installment Sale'!$K$29:$K$38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Sarah Chen, CPA — September 22, 2025</author>
  </authors>
  <commentList>
    <comment ref="I54" authorId="0" shapeId="0">
      <text>
        <t>Confirm California installment withholding release process with transaction counsel before signing.</t>
      </text>
    </comment>
  </commentList>
</comments>
</file>

<file path=xl/comments/comment2.xml><?xml version="1.0" encoding="utf-8"?>
<comments xmlns="http://schemas.openxmlformats.org/spreadsheetml/2006/main">
  <authors>
    <author>Sarah Chen, CPA — September 22, 2025</author>
  </authors>
  <commentList>
    <comment ref="M41" authorId="0" shapeId="0">
      <text>
        <t>The August 2025 rooftop-unit invoice was traced to the fixed-asset ledger; final vendor closeout package remains pending. Modeled basis is unchanged.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6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sources/Agree_Realty_2024_Annual_Report.pdf" TargetMode="External" Id="rId1"/><Relationship Type="http://schemas.openxmlformats.org/officeDocument/2006/relationships/hyperlink" Target="sources/Realty_Income_2024_Q3_Earnings_Dispositions.pdf" TargetMode="External" Id="rId2"/><Relationship Type="http://schemas.openxmlformats.org/officeDocument/2006/relationships/hyperlink" Target="sources/Los_Angeles_Declaration_Documentary_Transfer_Tax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19" customWidth="1" min="3" max="3"/>
    <col width="26" customWidth="1" min="4" max="4"/>
    <col width="20" customWidth="1" min="5" max="5"/>
    <col width="14" customWidth="1" min="6" max="6"/>
    <col width="14" customWidth="1" min="7" max="7"/>
    <col width="17" customWidth="1" min="8" max="8"/>
    <col width="48" customWidth="1" min="9" max="9"/>
  </cols>
  <sheetData>
    <row r="1" ht="24" customHeight="1">
      <c r="A1" s="1" t="inlineStr">
        <is>
          <t>ADC Fairfax &amp; 3rd Disposal Tax Model — Structure Comparison</t>
        </is>
      </c>
    </row>
    <row r="2" ht="28" customHeight="1">
      <c r="A2" s="2" t="inlineStr">
        <is>
          <t>Agree Realty Corporation | Fairfax &amp; 3rd Retail Center | September 30, 2025 | Executive decision view for the Investment Committee</t>
        </is>
      </c>
    </row>
    <row r="3"/>
    <row r="4"/>
    <row r="5"/>
    <row r="6"/>
    <row r="7" ht="32" customHeight="1">
      <c r="A7" s="3" t="inlineStr">
        <is>
          <t>Metric / Criterion</t>
        </is>
      </c>
      <c r="B7" s="3" t="inlineStr">
        <is>
          <t>Weight</t>
        </is>
      </c>
      <c r="C7" s="3" t="inlineStr">
        <is>
          <t>Direct Asset Sale</t>
        </is>
      </c>
      <c r="D7" s="3" t="inlineStr">
        <is>
          <t>Partnership Interest Transfer</t>
        </is>
      </c>
      <c r="E7" s="3" t="inlineStr">
        <is>
          <t>Installment Sale</t>
        </is>
      </c>
      <c r="F7" s="3" t="inlineStr">
        <is>
          <t>Direct Score</t>
        </is>
      </c>
      <c r="G7" s="3" t="inlineStr">
        <is>
          <t>Equity Score</t>
        </is>
      </c>
      <c r="H7" s="3" t="inlineStr">
        <is>
          <t>Installment Score</t>
        </is>
      </c>
      <c r="I7" s="3" t="inlineStr">
        <is>
          <t>Review Note</t>
        </is>
      </c>
    </row>
    <row r="8">
      <c r="A8" s="4" t="inlineStr">
        <is>
          <t>Federal taxable gain</t>
        </is>
      </c>
      <c r="B8" s="5" t="n"/>
      <c r="C8" s="6">
        <f>'Direct Sale'!$H$44</f>
        <v/>
      </c>
      <c r="D8" s="6">
        <f>'Equity Transfer'!$H$36</f>
        <v/>
      </c>
      <c r="E8" s="6">
        <f>'Direct Sale'!$H$44</f>
        <v/>
      </c>
      <c r="F8" s="7" t="n"/>
      <c r="G8" s="7" t="n"/>
      <c r="H8" s="7" t="n"/>
      <c r="I8" s="4" t="inlineStr">
        <is>
          <t>Lower is preferable; equity transfer includes liability relief.</t>
        </is>
      </c>
    </row>
    <row r="9">
      <c r="A9" s="4" t="inlineStr">
        <is>
          <t>2025 current-year gain</t>
        </is>
      </c>
      <c r="B9" s="5" t="n"/>
      <c r="C9" s="6">
        <f>'Direct Sale'!$H$44</f>
        <v/>
      </c>
      <c r="D9" s="6">
        <f>'Equity Transfer'!$H$36</f>
        <v/>
      </c>
      <c r="E9" s="6">
        <f>'Installment Sale'!$J$29</f>
        <v/>
      </c>
      <c r="F9" s="7" t="n"/>
      <c r="G9" s="7" t="n"/>
      <c r="H9" s="7" t="n"/>
      <c r="I9" s="4" t="inlineStr">
        <is>
          <t>Installment structure defers eligible gain.</t>
        </is>
      </c>
    </row>
    <row r="10">
      <c r="A10" s="4" t="inlineStr">
        <is>
          <t>Deferred eligible gain</t>
        </is>
      </c>
      <c r="B10" s="5" t="n"/>
      <c r="C10" s="8" t="n">
        <v>0</v>
      </c>
      <c r="D10" s="8" t="n">
        <v>0</v>
      </c>
      <c r="E10" s="6">
        <f>'Installment Sale'!$K$29</f>
        <v/>
      </c>
      <c r="F10" s="7" t="n"/>
      <c r="G10" s="7" t="n"/>
      <c r="H10" s="7" t="n"/>
      <c r="I10" s="4" t="inlineStr">
        <is>
          <t>Deferred gain remains subject to future collection.</t>
        </is>
      </c>
    </row>
    <row r="11">
      <c r="A11" s="4" t="inlineStr">
        <is>
          <t>Ordinary-income component</t>
        </is>
      </c>
      <c r="B11" s="5" t="n"/>
      <c r="C11" s="6">
        <f>'Direct Sale'!$H$35+'Direct Sale'!$H$36</f>
        <v/>
      </c>
      <c r="D11" s="6">
        <f>'Equity Transfer'!$H$31</f>
        <v/>
      </c>
      <c r="E11" s="6">
        <f>'Installment Sale'!$I$29</f>
        <v/>
      </c>
      <c r="F11" s="7" t="n"/>
      <c r="G11" s="7" t="n"/>
      <c r="H11" s="7" t="n"/>
      <c r="I11" s="4" t="inlineStr">
        <is>
          <t>Recapture is recognized in full in 2025.</t>
        </is>
      </c>
    </row>
    <row r="12">
      <c r="A12" s="4" t="inlineStr">
        <is>
          <t>Los Angeles documentary transfer tax</t>
        </is>
      </c>
      <c r="B12" s="5" t="n"/>
      <c r="C12" s="6">
        <f>'LA Transfer Tax'!$F$27</f>
        <v/>
      </c>
      <c r="D12" s="6">
        <f>'LA Transfer Tax'!$F$28</f>
        <v/>
      </c>
      <c r="E12" s="6">
        <f>'LA Transfer Tax'!$F$27</f>
        <v/>
      </c>
      <c r="F12" s="7" t="n"/>
      <c r="G12" s="7" t="n"/>
      <c r="H12" s="7" t="n"/>
      <c r="I12" s="4" t="inlineStr">
        <is>
          <t>County and City of Los Angeles rates modeled at $5.60 per $1,000.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18" customHeight="1">
      <c r="A14" s="9" t="inlineStr">
        <is>
          <t>Qualitative Decision Scorecard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32" customHeight="1">
      <c r="A15" s="9" t="inlineStr">
        <is>
          <t>Criterion</t>
        </is>
      </c>
      <c r="B15" s="9" t="inlineStr">
        <is>
          <t>Weight</t>
        </is>
      </c>
      <c r="C15" s="9" t="inlineStr">
        <is>
          <t>Direct Asset Sale</t>
        </is>
      </c>
      <c r="D15" s="9" t="inlineStr">
        <is>
          <t>Partnership Interest Transfer</t>
        </is>
      </c>
      <c r="E15" s="9" t="inlineStr">
        <is>
          <t>Installment Sale</t>
        </is>
      </c>
      <c r="F15" s="9" t="inlineStr">
        <is>
          <t>Direct Score</t>
        </is>
      </c>
      <c r="G15" s="9" t="inlineStr">
        <is>
          <t>Equity Score</t>
        </is>
      </c>
      <c r="H15" s="9" t="inlineStr">
        <is>
          <t>Installment Score</t>
        </is>
      </c>
      <c r="I15" s="9" t="inlineStr">
        <is>
          <t>Review Note</t>
        </is>
      </c>
    </row>
    <row r="16">
      <c r="A16" s="4" t="inlineStr">
        <is>
          <t>Tax deferral / cash timing</t>
        </is>
      </c>
      <c r="B16" s="5" t="n">
        <v>0.2</v>
      </c>
      <c r="C16" s="7" t="n">
        <v>2</v>
      </c>
      <c r="D16" s="7" t="n">
        <v>3</v>
      </c>
      <c r="E16" s="7" t="n">
        <v>5</v>
      </c>
      <c r="F16" s="7">
        <f>IF($B16="","",$B16*C16)</f>
        <v/>
      </c>
      <c r="G16" s="7">
        <f>IF($B16="","",$B16*D16)</f>
        <v/>
      </c>
      <c r="H16" s="7">
        <f>IF($B16="","",$B16*E16)</f>
        <v/>
      </c>
      <c r="I16" s="4" t="inlineStr">
        <is>
          <t>Installment provides the strongest deferral.</t>
        </is>
      </c>
    </row>
    <row r="17">
      <c r="A17" s="4" t="inlineStr">
        <is>
          <t>Federal tax simplicity</t>
        </is>
      </c>
      <c r="B17" s="5" t="n">
        <v>0.15</v>
      </c>
      <c r="C17" s="7" t="n">
        <v>4</v>
      </c>
      <c r="D17" s="7" t="n">
        <v>2</v>
      </c>
      <c r="E17" s="7" t="n">
        <v>2</v>
      </c>
      <c r="F17" s="7">
        <f>IF($B17="","",$B17*C17)</f>
        <v/>
      </c>
      <c r="G17" s="7">
        <f>IF($B17="","",$B17*D17)</f>
        <v/>
      </c>
      <c r="H17" s="7">
        <f>IF($B17="","",$B17*E17)</f>
        <v/>
      </c>
      <c r="I17" s="4" t="inlineStr">
        <is>
          <t>Direct deed is operationally familiar.</t>
        </is>
      </c>
    </row>
    <row r="18">
      <c r="A18" s="4" t="inlineStr">
        <is>
          <t>Buyer marketability</t>
        </is>
      </c>
      <c r="B18" s="5" t="n">
        <v>0.15</v>
      </c>
      <c r="C18" s="7" t="n">
        <v>4</v>
      </c>
      <c r="D18" s="7" t="n">
        <v>3</v>
      </c>
      <c r="E18" s="7" t="n">
        <v>2</v>
      </c>
      <c r="F18" s="7">
        <f>IF($B18="","",$B18*C18)</f>
        <v/>
      </c>
      <c r="G18" s="7">
        <f>IF($B18="","",$B18*D18)</f>
        <v/>
      </c>
      <c r="H18" s="7">
        <f>IF($B18="","",$B18*E18)</f>
        <v/>
      </c>
      <c r="I18" s="4" t="inlineStr">
        <is>
          <t>Equity transfer narrows buyer pool.</t>
        </is>
      </c>
    </row>
    <row r="19">
      <c r="A19" s="4" t="inlineStr">
        <is>
          <t>Transfer-tax efficiency</t>
        </is>
      </c>
      <c r="B19" s="5" t="n">
        <v>0.1</v>
      </c>
      <c r="C19" s="7" t="n">
        <v>2</v>
      </c>
      <c r="D19" s="7" t="n">
        <v>2</v>
      </c>
      <c r="E19" s="7" t="n">
        <v>2</v>
      </c>
      <c r="F19" s="7">
        <f>IF($B19="","",$B19*C19)</f>
        <v/>
      </c>
      <c r="G19" s="7">
        <f>IF($B19="","",$B19*D19)</f>
        <v/>
      </c>
      <c r="H19" s="7">
        <f>IF($B19="","",$B19*E19)</f>
        <v/>
      </c>
      <c r="I19" s="4" t="inlineStr">
        <is>
          <t>Both direct and control-change exposures modeled.</t>
        </is>
      </c>
    </row>
    <row r="20">
      <c r="A20" s="4" t="inlineStr">
        <is>
          <t>Financing and liquidity</t>
        </is>
      </c>
      <c r="B20" s="5" t="n">
        <v>0.1</v>
      </c>
      <c r="C20" s="7" t="n">
        <v>4</v>
      </c>
      <c r="D20" s="7" t="n">
        <v>3</v>
      </c>
      <c r="E20" s="7" t="n">
        <v>2</v>
      </c>
      <c r="F20" s="7">
        <f>IF($B20="","",$B20*C20)</f>
        <v/>
      </c>
      <c r="G20" s="7">
        <f>IF($B20="","",$B20*D20)</f>
        <v/>
      </c>
      <c r="H20" s="7">
        <f>IF($B20="","",$B20*E20)</f>
        <v/>
      </c>
      <c r="I20" s="4" t="inlineStr">
        <is>
          <t>Installment note creates collection risk.</t>
        </is>
      </c>
    </row>
    <row r="21">
      <c r="A21" s="4" t="inlineStr">
        <is>
          <t>Execution certainty</t>
        </is>
      </c>
      <c r="B21" s="5" t="n">
        <v>0.1</v>
      </c>
      <c r="C21" s="7" t="n">
        <v>4</v>
      </c>
      <c r="D21" s="7" t="n">
        <v>2</v>
      </c>
      <c r="E21" s="7" t="n">
        <v>2</v>
      </c>
      <c r="F21" s="7">
        <f>IF($B21="","",$B21*C21)</f>
        <v/>
      </c>
      <c r="G21" s="7">
        <f>IF($B21="","",$B21*D21)</f>
        <v/>
      </c>
      <c r="H21" s="7">
        <f>IF($B21="","",$B21*E21)</f>
        <v/>
      </c>
      <c r="I21" s="4" t="inlineStr">
        <is>
          <t>Legal-entity and withholding diligence remain open.</t>
        </is>
      </c>
    </row>
    <row r="22">
      <c r="A22" s="4" t="inlineStr">
        <is>
          <t>Recapture transparency</t>
        </is>
      </c>
      <c r="B22" s="5" t="n">
        <v>0.1</v>
      </c>
      <c r="C22" s="7" t="n">
        <v>4</v>
      </c>
      <c r="D22" s="7" t="n">
        <v>3</v>
      </c>
      <c r="E22" s="7" t="n">
        <v>3</v>
      </c>
      <c r="F22" s="7">
        <f>IF($B22="","",$B22*C22)</f>
        <v/>
      </c>
      <c r="G22" s="7">
        <f>IF($B22="","",$B22*D22)</f>
        <v/>
      </c>
      <c r="H22" s="7">
        <f>IF($B22="","",$B22*E22)</f>
        <v/>
      </c>
      <c r="I22" s="4" t="inlineStr">
        <is>
          <t>All structures retain ordinary-income analysis.</t>
        </is>
      </c>
    </row>
    <row r="23">
      <c r="A23" s="4" t="inlineStr">
        <is>
          <t>Accounting / reporting burden</t>
        </is>
      </c>
      <c r="B23" s="5" t="n">
        <v>0.05</v>
      </c>
      <c r="C23" s="7" t="n">
        <v>4</v>
      </c>
      <c r="D23" s="7" t="n">
        <v>2</v>
      </c>
      <c r="E23" s="7" t="n">
        <v>2</v>
      </c>
      <c r="F23" s="7">
        <f>IF($B23="","",$B23*C23)</f>
        <v/>
      </c>
      <c r="G23" s="7">
        <f>IF($B23="","",$B23*D23)</f>
        <v/>
      </c>
      <c r="H23" s="7">
        <f>IF($B23="","",$B23*E23)</f>
        <v/>
      </c>
      <c r="I23" s="4" t="inlineStr">
        <is>
          <t>Installment requires long-tail tracking.</t>
        </is>
      </c>
    </row>
    <row r="24">
      <c r="A24" s="4" t="inlineStr">
        <is>
          <t>Legal and withholding risk</t>
        </is>
      </c>
      <c r="B24" s="5" t="n">
        <v>0.05</v>
      </c>
      <c r="C24" s="7" t="n">
        <v>3</v>
      </c>
      <c r="D24" s="7" t="n">
        <v>2</v>
      </c>
      <c r="E24" s="7" t="n">
        <v>2</v>
      </c>
      <c r="F24" s="7">
        <f>IF($B24="","",$B24*C24)</f>
        <v/>
      </c>
      <c r="G24" s="7">
        <f>IF($B24="","",$B24*D24)</f>
        <v/>
      </c>
      <c r="H24" s="7">
        <f>IF($B24="","",$B24*E24)</f>
        <v/>
      </c>
      <c r="I24" s="4" t="inlineStr">
        <is>
          <t>Review 1446(f), FIRPTA, and FTB release process.</t>
        </is>
      </c>
    </row>
    <row r="25">
      <c r="A25" s="10" t="inlineStr">
        <is>
          <t>Total weighted score</t>
        </is>
      </c>
      <c r="B25" s="10" t="n"/>
      <c r="C25" s="10">
        <f>SUM(F16:F24)</f>
        <v/>
      </c>
      <c r="D25" s="10">
        <f>SUM(G16:G24)</f>
        <v/>
      </c>
      <c r="E25" s="10">
        <f>SUM(H16:H24)</f>
        <v/>
      </c>
      <c r="F25" s="10" t="n"/>
      <c r="G25" s="10" t="n"/>
      <c r="H25" s="10" t="n"/>
      <c r="I25" s="10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18" customHeight="1">
      <c r="A28" s="9" t="inlineStr">
        <is>
          <t>Structuring Recommendation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22" customHeight="1">
      <c r="A29" s="4" t="inlineStr">
        <is>
          <t>Recommended structure</t>
        </is>
      </c>
      <c r="B29" s="4" t="inlineStr">
        <is>
          <t>Installment Sale</t>
        </is>
      </c>
      <c r="C29" s="4" t="n"/>
      <c r="D29" s="4" t="n"/>
      <c r="E29" s="4" t="n"/>
      <c r="F29" s="4" t="n"/>
      <c r="G29" s="4" t="n"/>
      <c r="H29" s="4" t="n"/>
      <c r="I29" s="4" t="n"/>
    </row>
    <row r="30" ht="30" customHeight="1">
      <c r="A30" s="4" t="inlineStr">
        <is>
          <t>Recommendation bridge</t>
        </is>
      </c>
      <c r="B30" s="4" t="inlineStr">
        <is>
          <t>Installment Sale produces $3,935,308.98 of 2025 recognized gain and $5,884,887.52 of deferred eligible gain, subject to buyer credit and FTB withholding-release diligence.</t>
        </is>
      </c>
      <c r="C30" s="4" t="n"/>
      <c r="D30" s="4" t="n"/>
      <c r="E30" s="4" t="n"/>
      <c r="F30" s="4" t="n"/>
      <c r="G30" s="4" t="n"/>
      <c r="H30" s="4" t="n"/>
      <c r="I30" s="4" t="n"/>
    </row>
    <row r="31" ht="30" customHeight="1">
      <c r="A31" s="4" t="inlineStr">
        <is>
          <t>Direct-sale alternative</t>
        </is>
      </c>
      <c r="B31" s="4" t="inlineStr">
        <is>
          <t>Direct Asset Sale produces $9,820,196.50 of federal taxable gain, including $1,107,955.00 section 1245 ordinary recapture, $865,724.80 section 291 ordinary income, $3,462,899.20 unrecaptured section 1250 gain, and $4,383,617.50 residual section 1231 gain.</t>
        </is>
      </c>
      <c r="C31" s="4" t="n"/>
      <c r="D31" s="4" t="n"/>
      <c r="E31" s="4" t="n"/>
      <c r="F31" s="4" t="n"/>
      <c r="G31" s="4" t="n"/>
      <c r="H31" s="4" t="n"/>
      <c r="I31" s="4" t="n"/>
    </row>
    <row r="32" ht="30" customHeight="1">
      <c r="A32" s="4" t="inlineStr">
        <is>
          <t>Equity-transfer alternative</t>
        </is>
      </c>
      <c r="B32" s="4" t="inlineStr">
        <is>
          <t>Partnership Interest Transfer produces $10,850,640.00 of federal gain, including $1,248,775.00 section 751 ordinary income and $9,601,865.00 section 741 capital gain; it does not eliminate depreciation-related ordinary income.</t>
        </is>
      </c>
      <c r="C32" s="4" t="n"/>
      <c r="D32" s="4" t="n"/>
      <c r="E32" s="4" t="n"/>
      <c r="F32" s="4" t="n"/>
      <c r="G32" s="4" t="n"/>
      <c r="H32" s="4" t="n"/>
      <c r="I32" s="4" t="n"/>
    </row>
    <row r="33" ht="22" customHeight="1">
      <c r="A33" s="4" t="inlineStr">
        <is>
          <t>Committee action</t>
        </is>
      </c>
      <c r="B33" s="4" t="inlineStr">
        <is>
          <t>Approve continued installment-sale diligence; require transaction counsel confirmation of California withholding release, buyer credit support, and section 1446(f)/FIRPTA status before signing.</t>
        </is>
      </c>
      <c r="C33" s="4" t="n"/>
      <c r="D33" s="4" t="n"/>
      <c r="E33" s="4" t="n"/>
      <c r="F33" s="4" t="n"/>
      <c r="G33" s="4" t="n"/>
      <c r="H33" s="4" t="n"/>
      <c r="I33" s="4" t="n"/>
    </row>
    <row r="34" ht="22" customHeight="1">
      <c r="A34" s="4" t="inlineStr">
        <is>
          <t>Model status</t>
        </is>
      </c>
      <c r="B34" s="4" t="inlineStr">
        <is>
          <t>Review-ready planning model; not a tax opinion and not a public filing disclosure.</t>
        </is>
      </c>
      <c r="C34" s="4" t="n"/>
      <c r="D34" s="4" t="n"/>
      <c r="E34" s="4" t="n"/>
      <c r="F34" s="4" t="n"/>
      <c r="G34" s="4" t="n"/>
      <c r="H34" s="4" t="n"/>
      <c r="I34" s="4" t="n"/>
    </row>
  </sheetData>
  <autoFilter ref="A15:I24"/>
  <mergeCells count="10">
    <mergeCell ref="B30:I30"/>
    <mergeCell ref="A2:I2"/>
    <mergeCell ref="B29:I29"/>
    <mergeCell ref="B33:I33"/>
    <mergeCell ref="A28:I28"/>
    <mergeCell ref="A14:I14"/>
    <mergeCell ref="B34:I34"/>
    <mergeCell ref="A1:I1"/>
    <mergeCell ref="B31:I31"/>
    <mergeCell ref="B32:I32"/>
  </mergeCells>
  <conditionalFormatting sqref="C8:E12">
    <cfRule type="colorScale" priority="1">
      <colorScale>
        <cfvo type="min"/>
        <cfvo type="percentile" val="50"/>
        <cfvo type="max"/>
        <color rgb="00D9EAD3"/>
        <color rgb="00F2F2F2"/>
        <color rgb="00FCE4D6"/>
      </colorScale>
    </cfRule>
  </conditionalFormatting>
  <conditionalFormatting sqref="C25:E25">
    <cfRule type="expression" priority="2" dxfId="0">
      <formula>C25=MAX($C$25:$E$25)</formula>
    </cfRule>
  </conditionalFormatting>
  <conditionalFormatting sqref="I16:I24">
    <cfRule type="expression" priority="3" dxfId="1">
      <formula>OR(ISNUMBER(SEARCH("Review",$I16)),ISNUMBER(SEARCH("Pending",$I16)))</formula>
    </cfRule>
  </conditionalFormatting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2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8" customWidth="1" min="4" max="4"/>
    <col width="16" customWidth="1" min="5" max="5"/>
    <col width="12" customWidth="1" min="6" max="6"/>
    <col width="42" customWidth="1" min="7" max="7"/>
    <col width="15" customWidth="1" min="8" max="8"/>
    <col width="13" customWidth="1" min="9" max="9"/>
    <col width="20" customWidth="1" min="10" max="10"/>
  </cols>
  <sheetData>
    <row r="1" ht="24" customHeight="1">
      <c r="A1" s="1" t="inlineStr">
        <is>
          <t>ADC Fairfax &amp; 3rd Disposal Tax Model — Assumptions</t>
        </is>
      </c>
    </row>
    <row r="2" ht="28" customHeight="1">
      <c r="A2" s="2" t="inlineStr">
        <is>
          <t>Agree Realty Corporation (NYSE: ADC) | Fairfax &amp; 3rd Retail Center | Proposed closing September 30, 2025 | Base-case inputs in light gray; yellow denotes review.</t>
        </is>
      </c>
    </row>
    <row r="3"/>
    <row r="4" ht="18" customHeight="1">
      <c r="A4" s="11" t="inlineStr">
        <is>
          <t>Controlled Input Register</t>
        </is>
      </c>
    </row>
    <row r="5" ht="32" customHeight="1">
      <c r="A5" s="3" t="inlineStr">
        <is>
          <t>Assumption ID</t>
        </is>
      </c>
      <c r="B5" s="3" t="inlineStr">
        <is>
          <t>Category</t>
        </is>
      </c>
      <c r="C5" s="3" t="inlineStr">
        <is>
          <t>Assumption</t>
        </is>
      </c>
      <c r="D5" s="3" t="inlineStr">
        <is>
          <t>Value</t>
        </is>
      </c>
      <c r="E5" s="3" t="inlineStr">
        <is>
          <t>Unit / Format</t>
        </is>
      </c>
      <c r="F5" s="3" t="inlineStr">
        <is>
          <t>Case</t>
        </is>
      </c>
      <c r="G5" s="3" t="inlineStr">
        <is>
          <t>Source / Authority</t>
        </is>
      </c>
      <c r="H5" s="3" t="inlineStr">
        <is>
          <t>Source Date</t>
        </is>
      </c>
      <c r="I5" s="3" t="inlineStr">
        <is>
          <t>Status</t>
        </is>
      </c>
      <c r="J5" s="3" t="inlineStr">
        <is>
          <t>Reviewer</t>
        </is>
      </c>
    </row>
    <row r="6">
      <c r="A6" s="4" t="inlineStr">
        <is>
          <t>CTRL-01</t>
        </is>
      </c>
      <c r="B6" s="4" t="inlineStr">
        <is>
          <t>Control</t>
        </is>
      </c>
      <c r="C6" s="4" t="inlineStr">
        <is>
          <t>Model as-of date</t>
        </is>
      </c>
      <c r="D6" s="12" t="n">
        <v>45930</v>
      </c>
      <c r="E6" s="4" t="inlineStr">
        <is>
          <t>date</t>
        </is>
      </c>
      <c r="F6" s="13" t="inlineStr">
        <is>
          <t>Base</t>
        </is>
      </c>
      <c r="G6" s="4" t="inlineStr">
        <is>
          <t>Management representation</t>
        </is>
      </c>
      <c r="H6" s="14" t="n">
        <v>45922</v>
      </c>
      <c r="I6" s="4" t="inlineStr">
        <is>
          <t>Confirmed</t>
        </is>
      </c>
      <c r="J6" s="4" t="inlineStr">
        <is>
          <t>Sarah Chen, CPA</t>
        </is>
      </c>
    </row>
    <row r="7">
      <c r="A7" s="4" t="inlineStr">
        <is>
          <t>CTRL-02</t>
        </is>
      </c>
      <c r="B7" s="4" t="inlineStr">
        <is>
          <t>Control</t>
        </is>
      </c>
      <c r="C7" s="4" t="inlineStr">
        <is>
          <t>Tax planning period</t>
        </is>
      </c>
      <c r="D7" s="4" t="inlineStr">
        <is>
          <t>2025-Q3</t>
        </is>
      </c>
      <c r="E7" s="4" t="inlineStr">
        <is>
          <t>period</t>
        </is>
      </c>
      <c r="F7" s="13" t="inlineStr">
        <is>
          <t>Base</t>
        </is>
      </c>
      <c r="G7" s="4" t="inlineStr">
        <is>
          <t>Investment Committee planning pack</t>
        </is>
      </c>
      <c r="H7" s="14" t="n">
        <v>45918</v>
      </c>
      <c r="I7" s="4" t="inlineStr">
        <is>
          <t>Confirmed</t>
        </is>
      </c>
      <c r="J7" s="4" t="inlineStr">
        <is>
          <t>Michael Donovan</t>
        </is>
      </c>
    </row>
    <row r="8">
      <c r="A8" s="4" t="inlineStr">
        <is>
          <t>TXN-01</t>
        </is>
      </c>
      <c r="B8" s="4" t="inlineStr">
        <is>
          <t>Property</t>
        </is>
      </c>
      <c r="C8" s="4" t="inlineStr">
        <is>
          <t>Disposition property</t>
        </is>
      </c>
      <c r="D8" s="4" t="inlineStr">
        <is>
          <t>Fairfax &amp; 3rd Retail Center, Los Angeles, California</t>
        </is>
      </c>
      <c r="E8" s="4" t="inlineStr">
        <is>
          <t>text</t>
        </is>
      </c>
      <c r="F8" s="13" t="inlineStr">
        <is>
          <t>Base</t>
        </is>
      </c>
      <c r="G8" s="4" t="inlineStr">
        <is>
          <t>Management representation</t>
        </is>
      </c>
      <c r="H8" s="14" t="n">
        <v>45922</v>
      </c>
      <c r="I8" s="4" t="inlineStr">
        <is>
          <t>Confirmed</t>
        </is>
      </c>
      <c r="J8" s="4" t="inlineStr">
        <is>
          <t>Sarah Chen, CPA</t>
        </is>
      </c>
    </row>
    <row r="9">
      <c r="A9" s="4" t="inlineStr">
        <is>
          <t>TXN-02</t>
        </is>
      </c>
      <c r="B9" s="4" t="inlineStr">
        <is>
          <t>Property</t>
        </is>
      </c>
      <c r="C9" s="4" t="inlineStr">
        <is>
          <t>Property-owning partnership</t>
        </is>
      </c>
      <c r="D9" s="4" t="inlineStr">
        <is>
          <t>ADC Fairfax Retail Partners LP</t>
        </is>
      </c>
      <c r="E9" s="4" t="inlineStr">
        <is>
          <t>text</t>
        </is>
      </c>
      <c r="F9" s="13" t="inlineStr">
        <is>
          <t>Base</t>
        </is>
      </c>
      <c r="G9" s="4" t="inlineStr">
        <is>
          <t>Legal entity register</t>
        </is>
      </c>
      <c r="H9" s="14" t="n">
        <v>45919</v>
      </c>
      <c r="I9" s="4" t="inlineStr">
        <is>
          <t>Confirmed</t>
        </is>
      </c>
      <c r="J9" s="4" t="inlineStr">
        <is>
          <t>Priya Raman</t>
        </is>
      </c>
    </row>
    <row r="10">
      <c r="A10" s="4" t="inlineStr">
        <is>
          <t>TXN-03</t>
        </is>
      </c>
      <c r="B10" s="4" t="inlineStr">
        <is>
          <t>Transaction</t>
        </is>
      </c>
      <c r="C10" s="4" t="inlineStr">
        <is>
          <t>Proposed closing date</t>
        </is>
      </c>
      <c r="D10" s="12" t="n">
        <v>45930</v>
      </c>
      <c r="E10" s="4" t="inlineStr">
        <is>
          <t>date</t>
        </is>
      </c>
      <c r="F10" s="13" t="inlineStr">
        <is>
          <t>Base</t>
        </is>
      </c>
      <c r="G10" s="4" t="inlineStr">
        <is>
          <t>Executed term sheet draft</t>
        </is>
      </c>
      <c r="H10" s="14" t="n">
        <v>45918</v>
      </c>
      <c r="I10" s="4" t="inlineStr">
        <is>
          <t>Confirmed</t>
        </is>
      </c>
      <c r="J10" s="4" t="inlineStr">
        <is>
          <t>Michael Donovan</t>
        </is>
      </c>
    </row>
    <row r="11">
      <c r="A11" s="4" t="inlineStr">
        <is>
          <t>TXN-04</t>
        </is>
      </c>
      <c r="B11" s="4" t="inlineStr">
        <is>
          <t>Transaction</t>
        </is>
      </c>
      <c r="C11" s="4" t="inlineStr">
        <is>
          <t>Taxpayer</t>
        </is>
      </c>
      <c r="D11" s="4" t="inlineStr">
        <is>
          <t>Agree Realty Corporation (NYSE: ADC)</t>
        </is>
      </c>
      <c r="E11" s="4" t="inlineStr">
        <is>
          <t>text</t>
        </is>
      </c>
      <c r="F11" s="13" t="inlineStr">
        <is>
          <t>Base</t>
        </is>
      </c>
      <c r="G11" s="4" t="inlineStr">
        <is>
          <t>2024 Annual Report</t>
        </is>
      </c>
      <c r="H11" s="14" t="n">
        <v>45717</v>
      </c>
      <c r="I11" s="4" t="inlineStr">
        <is>
          <t>Confirmed</t>
        </is>
      </c>
      <c r="J11" s="4" t="inlineStr">
        <is>
          <t>Elena Brooks</t>
        </is>
      </c>
    </row>
    <row r="12">
      <c r="A12" s="4" t="inlineStr">
        <is>
          <t>TXN-05</t>
        </is>
      </c>
      <c r="B12" s="4" t="inlineStr">
        <is>
          <t>Transaction</t>
        </is>
      </c>
      <c r="C12" s="4" t="inlineStr">
        <is>
          <t>Taxpayer headquarters</t>
        </is>
      </c>
      <c r="D12" s="4" t="inlineStr">
        <is>
          <t>Royal Oak, Michigan</t>
        </is>
      </c>
      <c r="E12" s="4" t="inlineStr">
        <is>
          <t>text</t>
        </is>
      </c>
      <c r="F12" s="13" t="inlineStr">
        <is>
          <t>Base</t>
        </is>
      </c>
      <c r="G12" s="4" t="inlineStr">
        <is>
          <t>2024 Annual Report</t>
        </is>
      </c>
      <c r="H12" s="14" t="n">
        <v>45717</v>
      </c>
      <c r="I12" s="4" t="inlineStr">
        <is>
          <t>Confirmed</t>
        </is>
      </c>
      <c r="J12" s="4" t="inlineStr">
        <is>
          <t>Elena Brooks</t>
        </is>
      </c>
    </row>
    <row r="13">
      <c r="A13" s="4" t="inlineStr">
        <is>
          <t>TXN-06</t>
        </is>
      </c>
      <c r="B13" s="4" t="inlineStr">
        <is>
          <t>Transaction</t>
        </is>
      </c>
      <c r="C13" s="4" t="inlineStr">
        <is>
          <t>Reporting currency</t>
        </is>
      </c>
      <c r="D13" s="4" t="inlineStr">
        <is>
          <t>U.S. dollars</t>
        </is>
      </c>
      <c r="E13" s="4" t="inlineStr">
        <is>
          <t>text</t>
        </is>
      </c>
      <c r="F13" s="13" t="inlineStr">
        <is>
          <t>Base</t>
        </is>
      </c>
      <c r="G13" s="4" t="inlineStr">
        <is>
          <t>Model convention</t>
        </is>
      </c>
      <c r="H13" s="14" t="n">
        <v>45918</v>
      </c>
      <c r="I13" s="4" t="inlineStr">
        <is>
          <t>Confirmed</t>
        </is>
      </c>
      <c r="J13" s="4" t="inlineStr">
        <is>
          <t>Sarah Chen, CPA</t>
        </is>
      </c>
    </row>
    <row r="14">
      <c r="A14" s="4" t="inlineStr">
        <is>
          <t>SALE-01</t>
        </is>
      </c>
      <c r="B14" s="4" t="inlineStr">
        <is>
          <t>Transaction</t>
        </is>
      </c>
      <c r="C14" s="4" t="inlineStr">
        <is>
          <t>Gross selling price</t>
        </is>
      </c>
      <c r="D14" s="8" t="n">
        <v>28735000</v>
      </c>
      <c r="E14" s="4" t="inlineStr">
        <is>
          <t>USD</t>
        </is>
      </c>
      <c r="F14" s="13" t="inlineStr">
        <is>
          <t>Base</t>
        </is>
      </c>
      <c r="G14" s="4" t="inlineStr">
        <is>
          <t>Executed term sheet draft</t>
        </is>
      </c>
      <c r="H14" s="14" t="n">
        <v>45918</v>
      </c>
      <c r="I14" s="4" t="inlineStr">
        <is>
          <t>Confirmed</t>
        </is>
      </c>
      <c r="J14" s="4" t="inlineStr">
        <is>
          <t>Michael Donovan</t>
        </is>
      </c>
    </row>
    <row r="15">
      <c r="A15" s="4" t="inlineStr">
        <is>
          <t>SALE-02</t>
        </is>
      </c>
      <c r="B15" s="4" t="inlineStr">
        <is>
          <t>Transaction</t>
        </is>
      </c>
      <c r="C15" s="4" t="inlineStr">
        <is>
          <t>Selling costs</t>
        </is>
      </c>
      <c r="D15" s="8" t="n">
        <v>387922.5</v>
      </c>
      <c r="E15" s="4" t="inlineStr">
        <is>
          <t>USD</t>
        </is>
      </c>
      <c r="F15" s="13" t="inlineStr">
        <is>
          <t>Base</t>
        </is>
      </c>
      <c r="G15" s="4" t="inlineStr">
        <is>
          <t>Broker and legal estimate</t>
        </is>
      </c>
      <c r="H15" s="14" t="n">
        <v>45921</v>
      </c>
      <c r="I15" s="4" t="inlineStr">
        <is>
          <t>Preliminary</t>
        </is>
      </c>
      <c r="J15" s="4" t="inlineStr">
        <is>
          <t>Priya Raman</t>
        </is>
      </c>
    </row>
    <row r="16">
      <c r="A16" s="4" t="inlineStr">
        <is>
          <t>SALE-03</t>
        </is>
      </c>
      <c r="B16" s="4" t="inlineStr">
        <is>
          <t>Transaction</t>
        </is>
      </c>
      <c r="C16" s="4" t="inlineStr">
        <is>
          <t>Debt remaining / liens</t>
        </is>
      </c>
      <c r="D16" s="8" t="n">
        <v>8425000</v>
      </c>
      <c r="E16" s="4" t="inlineStr">
        <is>
          <t>USD</t>
        </is>
      </c>
      <c r="F16" s="13" t="inlineStr">
        <is>
          <t>Base</t>
        </is>
      </c>
      <c r="G16" s="4" t="inlineStr">
        <is>
          <t>Debt payoff letter draft</t>
        </is>
      </c>
      <c r="H16" s="14" t="n">
        <v>45920</v>
      </c>
      <c r="I16" s="4" t="inlineStr">
        <is>
          <t>Preliminary</t>
        </is>
      </c>
      <c r="J16" s="4" t="inlineStr">
        <is>
          <t>Michael Donovan</t>
        </is>
      </c>
    </row>
    <row r="17">
      <c r="A17" s="4" t="inlineStr">
        <is>
          <t>SALE-04</t>
        </is>
      </c>
      <c r="B17" s="4" t="inlineStr">
        <is>
          <t>Transaction</t>
        </is>
      </c>
      <c r="C17" s="4" t="inlineStr">
        <is>
          <t>Cash equity consideration</t>
        </is>
      </c>
      <c r="D17" s="8" t="n">
        <v>20310000</v>
      </c>
      <c r="E17" s="4" t="inlineStr">
        <is>
          <t>USD</t>
        </is>
      </c>
      <c r="F17" s="13" t="inlineStr">
        <is>
          <t>Base</t>
        </is>
      </c>
      <c r="G17" s="4" t="inlineStr">
        <is>
          <t>Equity term sheet draft</t>
        </is>
      </c>
      <c r="H17" s="14" t="n">
        <v>45918</v>
      </c>
      <c r="I17" s="4" t="inlineStr">
        <is>
          <t>Confirmed</t>
        </is>
      </c>
      <c r="J17" s="4" t="inlineStr">
        <is>
          <t>Michael Donovan</t>
        </is>
      </c>
    </row>
    <row r="18">
      <c r="A18" s="4" t="inlineStr">
        <is>
          <t>SALE-05</t>
        </is>
      </c>
      <c r="B18" s="4" t="inlineStr">
        <is>
          <t>Transaction</t>
        </is>
      </c>
      <c r="C18" s="4" t="inlineStr">
        <is>
          <t>Installment closing principal</t>
        </is>
      </c>
      <c r="D18" s="8" t="n">
        <v>7183750</v>
      </c>
      <c r="E18" s="4" t="inlineStr">
        <is>
          <t>USD</t>
        </is>
      </c>
      <c r="F18" s="13" t="inlineStr">
        <is>
          <t>Base</t>
        </is>
      </c>
      <c r="G18" s="4" t="inlineStr">
        <is>
          <t>Seller note term sheet</t>
        </is>
      </c>
      <c r="H18" s="14" t="n">
        <v>45920</v>
      </c>
      <c r="I18" s="4" t="inlineStr">
        <is>
          <t>Preliminary</t>
        </is>
      </c>
      <c r="J18" s="4" t="inlineStr">
        <is>
          <t>Priya Raman</t>
        </is>
      </c>
    </row>
    <row r="19">
      <c r="A19" s="4" t="inlineStr">
        <is>
          <t>BASIS-01</t>
        </is>
      </c>
      <c r="B19" s="4" t="inlineStr">
        <is>
          <t>Federal Tax</t>
        </is>
      </c>
      <c r="C19" s="4" t="inlineStr">
        <is>
          <t>Tax basis bridge to transaction basis</t>
        </is>
      </c>
      <c r="D19" s="8" t="n">
        <v>3158361</v>
      </c>
      <c r="E19" s="4" t="inlineStr">
        <is>
          <t>USD</t>
        </is>
      </c>
      <c r="F19" s="13" t="inlineStr">
        <is>
          <t>Base</t>
        </is>
      </c>
      <c r="G19" s="4" t="inlineStr">
        <is>
          <t>Tax basis reconciliation</t>
        </is>
      </c>
      <c r="H19" s="14" t="n">
        <v>45922</v>
      </c>
      <c r="I19" s="15" t="inlineStr">
        <is>
          <t>Review</t>
        </is>
      </c>
      <c r="J19" s="4" t="inlineStr">
        <is>
          <t>Sarah Chen, CPA</t>
        </is>
      </c>
    </row>
    <row r="20">
      <c r="A20" s="4" t="inlineStr">
        <is>
          <t>BASIS-02</t>
        </is>
      </c>
      <c r="B20" s="4" t="inlineStr">
        <is>
          <t>Federal Tax</t>
        </is>
      </c>
      <c r="C20" s="4" t="inlineStr">
        <is>
          <t>Original land basis</t>
        </is>
      </c>
      <c r="D20" s="8" t="n">
        <v>5814250</v>
      </c>
      <c r="E20" s="4" t="inlineStr">
        <is>
          <t>USD</t>
        </is>
      </c>
      <c r="F20" s="13" t="inlineStr">
        <is>
          <t>Base</t>
        </is>
      </c>
      <c r="G20" s="4" t="inlineStr">
        <is>
          <t>Fixed asset ledger</t>
        </is>
      </c>
      <c r="H20" s="14" t="n">
        <v>45922</v>
      </c>
      <c r="I20" s="4" t="inlineStr">
        <is>
          <t>Confirmed</t>
        </is>
      </c>
      <c r="J20" s="4" t="inlineStr">
        <is>
          <t>Sarah Chen, CPA</t>
        </is>
      </c>
    </row>
    <row r="21">
      <c r="A21" s="4" t="inlineStr">
        <is>
          <t>BASIS-03</t>
        </is>
      </c>
      <c r="B21" s="4" t="inlineStr">
        <is>
          <t>Federal Tax</t>
        </is>
      </c>
      <c r="C21" s="4" t="inlineStr">
        <is>
          <t>Original building basis</t>
        </is>
      </c>
      <c r="D21" s="8" t="n">
        <v>14962480</v>
      </c>
      <c r="E21" s="4" t="inlineStr">
        <is>
          <t>USD</t>
        </is>
      </c>
      <c r="F21" s="13" t="inlineStr">
        <is>
          <t>Base</t>
        </is>
      </c>
      <c r="G21" s="4" t="inlineStr">
        <is>
          <t>Fixed asset ledger</t>
        </is>
      </c>
      <c r="H21" s="14" t="n">
        <v>45922</v>
      </c>
      <c r="I21" s="4" t="inlineStr">
        <is>
          <t>Confirmed</t>
        </is>
      </c>
      <c r="J21" s="4" t="inlineStr">
        <is>
          <t>Sarah Chen, CPA</t>
        </is>
      </c>
    </row>
    <row r="22">
      <c r="A22" s="4" t="inlineStr">
        <is>
          <t>BASIS-04</t>
        </is>
      </c>
      <c r="B22" s="4" t="inlineStr">
        <is>
          <t>Federal Tax</t>
        </is>
      </c>
      <c r="C22" s="4" t="inlineStr">
        <is>
          <t>Capitalized qualified improvements</t>
        </is>
      </c>
      <c r="D22" s="8" t="n">
        <v>3186730</v>
      </c>
      <c r="E22" s="4" t="inlineStr">
        <is>
          <t>USD</t>
        </is>
      </c>
      <c r="F22" s="13" t="inlineStr">
        <is>
          <t>Base</t>
        </is>
      </c>
      <c r="G22" s="4" t="inlineStr">
        <is>
          <t>Capital project ledger</t>
        </is>
      </c>
      <c r="H22" s="14" t="n">
        <v>45922</v>
      </c>
      <c r="I22" s="4" t="inlineStr">
        <is>
          <t>Preliminary</t>
        </is>
      </c>
      <c r="J22" s="4" t="inlineStr">
        <is>
          <t>Sarah Chen, CPA</t>
        </is>
      </c>
    </row>
    <row r="23">
      <c r="A23" s="4" t="inlineStr">
        <is>
          <t>BASIS-05</t>
        </is>
      </c>
      <c r="B23" s="4" t="inlineStr">
        <is>
          <t>Federal Tax</t>
        </is>
      </c>
      <c r="C23" s="4" t="inlineStr">
        <is>
          <t>Accumulated building depreciation</t>
        </is>
      </c>
      <c r="D23" s="8" t="n">
        <v>4328624</v>
      </c>
      <c r="E23" s="4" t="inlineStr">
        <is>
          <t>USD</t>
        </is>
      </c>
      <c r="F23" s="13" t="inlineStr">
        <is>
          <t>Base</t>
        </is>
      </c>
      <c r="G23" s="4" t="inlineStr">
        <is>
          <t>Fixed asset ledger</t>
        </is>
      </c>
      <c r="H23" s="14" t="n">
        <v>45922</v>
      </c>
      <c r="I23" s="4" t="inlineStr">
        <is>
          <t>Confirmed</t>
        </is>
      </c>
      <c r="J23" s="4" t="inlineStr">
        <is>
          <t>Sarah Chen, CPA</t>
        </is>
      </c>
    </row>
    <row r="24">
      <c r="A24" s="4" t="inlineStr">
        <is>
          <t>BASIS-06</t>
        </is>
      </c>
      <c r="B24" s="4" t="inlineStr">
        <is>
          <t>Federal Tax</t>
        </is>
      </c>
      <c r="C24" s="4" t="inlineStr">
        <is>
          <t>Accumulated improvement depreciation</t>
        </is>
      </c>
      <c r="D24" s="8" t="n">
        <v>1107955</v>
      </c>
      <c r="E24" s="4" t="inlineStr">
        <is>
          <t>USD</t>
        </is>
      </c>
      <c r="F24" s="13" t="inlineStr">
        <is>
          <t>Base</t>
        </is>
      </c>
      <c r="G24" s="4" t="inlineStr">
        <is>
          <t>Fixed asset ledger</t>
        </is>
      </c>
      <c r="H24" s="14" t="n">
        <v>45922</v>
      </c>
      <c r="I24" s="4" t="inlineStr">
        <is>
          <t>Confirmed</t>
        </is>
      </c>
      <c r="J24" s="4" t="inlineStr">
        <is>
          <t>Sarah Chen, CPA</t>
        </is>
      </c>
    </row>
    <row r="25">
      <c r="A25" s="4" t="inlineStr">
        <is>
          <t>TAX-01</t>
        </is>
      </c>
      <c r="B25" s="4" t="inlineStr">
        <is>
          <t>Federal Tax</t>
        </is>
      </c>
      <c r="C25" s="4" t="inlineStr">
        <is>
          <t>Section 1245 recapture</t>
        </is>
      </c>
      <c r="D25" s="8" t="n">
        <v>1107955</v>
      </c>
      <c r="E25" s="4" t="inlineStr">
        <is>
          <t>USD</t>
        </is>
      </c>
      <c r="F25" s="13" t="inlineStr">
        <is>
          <t>Base</t>
        </is>
      </c>
      <c r="G25" s="4" t="inlineStr">
        <is>
          <t>IRC sections 1245 and 544</t>
        </is>
      </c>
      <c r="H25" s="14" t="n">
        <v>45922</v>
      </c>
      <c r="I25" s="4" t="inlineStr">
        <is>
          <t>Confirmed</t>
        </is>
      </c>
      <c r="J25" s="4" t="inlineStr">
        <is>
          <t>Sarah Chen, CPA</t>
        </is>
      </c>
    </row>
    <row r="26">
      <c r="A26" s="4" t="inlineStr">
        <is>
          <t>TAX-02</t>
        </is>
      </c>
      <c r="B26" s="4" t="inlineStr">
        <is>
          <t>Federal Tax</t>
        </is>
      </c>
      <c r="C26" s="4" t="inlineStr">
        <is>
          <t>Section 291 income</t>
        </is>
      </c>
      <c r="D26" s="8" t="n">
        <v>865724.8</v>
      </c>
      <c r="E26" s="4" t="inlineStr">
        <is>
          <t>USD</t>
        </is>
      </c>
      <c r="F26" s="13" t="inlineStr">
        <is>
          <t>Base</t>
        </is>
      </c>
      <c r="G26" s="4" t="inlineStr">
        <is>
          <t>IRC section 291</t>
        </is>
      </c>
      <c r="H26" s="14" t="n">
        <v>45922</v>
      </c>
      <c r="I26" s="4" t="inlineStr">
        <is>
          <t>Confirmed</t>
        </is>
      </c>
      <c r="J26" s="4" t="inlineStr">
        <is>
          <t>Sarah Chen, CPA</t>
        </is>
      </c>
    </row>
    <row r="27">
      <c r="A27" s="4" t="inlineStr">
        <is>
          <t>TAX-03</t>
        </is>
      </c>
      <c r="B27" s="4" t="inlineStr">
        <is>
          <t>Federal Tax</t>
        </is>
      </c>
      <c r="C27" s="4" t="inlineStr">
        <is>
          <t>Unrecaptured section 1250 gain</t>
        </is>
      </c>
      <c r="D27" s="8" t="n">
        <v>3462899.2</v>
      </c>
      <c r="E27" s="4" t="inlineStr">
        <is>
          <t>USD</t>
        </is>
      </c>
      <c r="F27" s="13" t="inlineStr">
        <is>
          <t>Base</t>
        </is>
      </c>
      <c r="G27" s="4" t="inlineStr">
        <is>
          <t>IRS Publication 544</t>
        </is>
      </c>
      <c r="H27" s="14" t="n">
        <v>45922</v>
      </c>
      <c r="I27" s="4" t="inlineStr">
        <is>
          <t>Confirmed</t>
        </is>
      </c>
      <c r="J27" s="4" t="inlineStr">
        <is>
          <t>Sarah Chen, CPA</t>
        </is>
      </c>
    </row>
    <row r="28">
      <c r="A28" s="4" t="inlineStr">
        <is>
          <t>TAX-04</t>
        </is>
      </c>
      <c r="B28" s="4" t="inlineStr">
        <is>
          <t>Federal Tax</t>
        </is>
      </c>
      <c r="C28" s="4" t="inlineStr">
        <is>
          <t>Residual section 1231 gain</t>
        </is>
      </c>
      <c r="D28" s="8" t="n">
        <v>4383617.5</v>
      </c>
      <c r="E28" s="4" t="inlineStr">
        <is>
          <t>USD</t>
        </is>
      </c>
      <c r="F28" s="13" t="inlineStr">
        <is>
          <t>Base</t>
        </is>
      </c>
      <c r="G28" s="4" t="inlineStr">
        <is>
          <t>IRS Publication 544</t>
        </is>
      </c>
      <c r="H28" s="14" t="n">
        <v>45922</v>
      </c>
      <c r="I28" s="4" t="inlineStr">
        <is>
          <t>Confirmed</t>
        </is>
      </c>
      <c r="J28" s="4" t="inlineStr">
        <is>
          <t>Sarah Chen, CPA</t>
        </is>
      </c>
    </row>
    <row r="29">
      <c r="A29" s="4" t="inlineStr">
        <is>
          <t>TAX-05</t>
        </is>
      </c>
      <c r="B29" s="4" t="inlineStr">
        <is>
          <t>Federal Tax</t>
        </is>
      </c>
      <c r="C29" s="4" t="inlineStr">
        <is>
          <t>Partnership outside basis</t>
        </is>
      </c>
      <c r="D29" s="8" t="n">
        <v>17884360</v>
      </c>
      <c r="E29" s="4" t="inlineStr">
        <is>
          <t>USD</t>
        </is>
      </c>
      <c r="F29" s="13" t="inlineStr">
        <is>
          <t>Base</t>
        </is>
      </c>
      <c r="G29" s="4" t="inlineStr">
        <is>
          <t>Partner capital account and tax basis schedule</t>
        </is>
      </c>
      <c r="H29" s="14" t="n">
        <v>45922</v>
      </c>
      <c r="I29" s="15" t="inlineStr">
        <is>
          <t>Review</t>
        </is>
      </c>
      <c r="J29" s="4" t="inlineStr">
        <is>
          <t>Sarah Chen, CPA</t>
        </is>
      </c>
    </row>
    <row r="30">
      <c r="A30" s="4" t="inlineStr">
        <is>
          <t>INST-01</t>
        </is>
      </c>
      <c r="B30" s="4" t="inlineStr">
        <is>
          <t>Installment</t>
        </is>
      </c>
      <c r="C30" s="4" t="inlineStr">
        <is>
          <t>Eligible installment contract price</t>
        </is>
      </c>
      <c r="D30" s="8" t="n">
        <v>28735000</v>
      </c>
      <c r="E30" s="4" t="inlineStr">
        <is>
          <t>USD</t>
        </is>
      </c>
      <c r="F30" s="13" t="inlineStr">
        <is>
          <t>Base</t>
        </is>
      </c>
      <c r="G30" s="4" t="inlineStr">
        <is>
          <t>IRC section 453 term sheet</t>
        </is>
      </c>
      <c r="H30" s="14" t="n">
        <v>45920</v>
      </c>
      <c r="I30" s="4" t="inlineStr">
        <is>
          <t>Confirmed</t>
        </is>
      </c>
      <c r="J30" s="4" t="inlineStr">
        <is>
          <t>Priya Raman</t>
        </is>
      </c>
    </row>
    <row r="31">
      <c r="A31" s="4" t="inlineStr">
        <is>
          <t>INST-02</t>
        </is>
      </c>
      <c r="B31" s="4" t="inlineStr">
        <is>
          <t>Installment</t>
        </is>
      </c>
      <c r="C31" s="4" t="inlineStr">
        <is>
          <t>Eligible installment gain</t>
        </is>
      </c>
      <c r="D31" s="8" t="n">
        <v>7846516.7</v>
      </c>
      <c r="E31" s="4" t="inlineStr">
        <is>
          <t>USD</t>
        </is>
      </c>
      <c r="F31" s="13" t="inlineStr">
        <is>
          <t>Base</t>
        </is>
      </c>
      <c r="G31" s="4" t="inlineStr">
        <is>
          <t>Direct Sale gain bridge</t>
        </is>
      </c>
      <c r="H31" s="14" t="n">
        <v>45922</v>
      </c>
      <c r="I31" s="4" t="inlineStr">
        <is>
          <t>Confirmed</t>
        </is>
      </c>
      <c r="J31" s="4" t="inlineStr">
        <is>
          <t>Sarah Chen, CPA</t>
        </is>
      </c>
    </row>
    <row r="32">
      <c r="A32" s="4" t="inlineStr">
        <is>
          <t>INST-03</t>
        </is>
      </c>
      <c r="B32" s="4" t="inlineStr">
        <is>
          <t>Installment</t>
        </is>
      </c>
      <c r="C32" s="4" t="inlineStr">
        <is>
          <t>2025 principal collected</t>
        </is>
      </c>
      <c r="D32" s="8" t="n">
        <v>7183750</v>
      </c>
      <c r="E32" s="4" t="inlineStr">
        <is>
          <t>USD</t>
        </is>
      </c>
      <c r="F32" s="13" t="inlineStr">
        <is>
          <t>Base</t>
        </is>
      </c>
      <c r="G32" s="4" t="inlineStr">
        <is>
          <t>Seller note term sheet</t>
        </is>
      </c>
      <c r="H32" s="14" t="n">
        <v>45920</v>
      </c>
      <c r="I32" s="4" t="inlineStr">
        <is>
          <t>Preliminary</t>
        </is>
      </c>
      <c r="J32" s="4" t="inlineStr">
        <is>
          <t>Priya Raman</t>
        </is>
      </c>
    </row>
    <row r="33">
      <c r="A33" s="4" t="inlineStr">
        <is>
          <t>INST-04</t>
        </is>
      </c>
      <c r="B33" s="4" t="inlineStr">
        <is>
          <t>Installment</t>
        </is>
      </c>
      <c r="C33" s="4" t="inlineStr">
        <is>
          <t>Seller note principal</t>
        </is>
      </c>
      <c r="D33" s="8" t="n">
        <v>21551250</v>
      </c>
      <c r="E33" s="4" t="inlineStr">
        <is>
          <t>USD</t>
        </is>
      </c>
      <c r="F33" s="13" t="inlineStr">
        <is>
          <t>Base</t>
        </is>
      </c>
      <c r="G33" s="4" t="inlineStr">
        <is>
          <t>Seller note term sheet</t>
        </is>
      </c>
      <c r="H33" s="14" t="n">
        <v>45920</v>
      </c>
      <c r="I33" s="4" t="inlineStr">
        <is>
          <t>Preliminary</t>
        </is>
      </c>
      <c r="J33" s="4" t="inlineStr">
        <is>
          <t>Priya Raman</t>
        </is>
      </c>
    </row>
    <row r="34">
      <c r="A34" s="4" t="inlineStr">
        <is>
          <t>INST-05</t>
        </is>
      </c>
      <c r="B34" s="4" t="inlineStr">
        <is>
          <t>Installment</t>
        </is>
      </c>
      <c r="C34" s="4" t="inlineStr">
        <is>
          <t>Installment interest rate</t>
        </is>
      </c>
      <c r="D34" s="16" t="n">
        <v>0.0575</v>
      </c>
      <c r="E34" s="4" t="inlineStr">
        <is>
          <t>percentage</t>
        </is>
      </c>
      <c r="F34" s="13" t="inlineStr">
        <is>
          <t>Base</t>
        </is>
      </c>
      <c r="G34" s="4" t="inlineStr">
        <is>
          <t>Seller note term sheet</t>
        </is>
      </c>
      <c r="H34" s="14" t="n">
        <v>45920</v>
      </c>
      <c r="I34" s="15" t="inlineStr">
        <is>
          <t>Review</t>
        </is>
      </c>
      <c r="J34" s="4" t="inlineStr">
        <is>
          <t>Priya Raman</t>
        </is>
      </c>
    </row>
    <row r="35">
      <c r="A35" s="4" t="inlineStr">
        <is>
          <t>INST-06</t>
        </is>
      </c>
      <c r="B35" s="4" t="inlineStr">
        <is>
          <t>Installment</t>
        </is>
      </c>
      <c r="C35" s="4" t="inlineStr">
        <is>
          <t>California withholding rate</t>
        </is>
      </c>
      <c r="D35" s="16" t="n">
        <v>0.035</v>
      </c>
      <c r="E35" s="4" t="inlineStr">
        <is>
          <t>percentage</t>
        </is>
      </c>
      <c r="F35" s="13" t="inlineStr">
        <is>
          <t>Base</t>
        </is>
      </c>
      <c r="G35" s="4" t="inlineStr">
        <is>
          <t>FTB Form 3805E instructions</t>
        </is>
      </c>
      <c r="H35" s="14" t="n">
        <v>45922</v>
      </c>
      <c r="I35" s="15" t="inlineStr">
        <is>
          <t>Review</t>
        </is>
      </c>
      <c r="J35" s="4" t="inlineStr">
        <is>
          <t>Sarah Chen, CPA</t>
        </is>
      </c>
    </row>
    <row r="36">
      <c r="A36" s="4" t="inlineStr">
        <is>
          <t>INST-07</t>
        </is>
      </c>
      <c r="B36" s="4" t="inlineStr">
        <is>
          <t>Installment</t>
        </is>
      </c>
      <c r="C36" s="4" t="inlineStr">
        <is>
          <t>California withholding release approved</t>
        </is>
      </c>
      <c r="D36" s="4" t="inlineStr">
        <is>
          <t>No</t>
        </is>
      </c>
      <c r="E36" s="4" t="inlineStr">
        <is>
          <t>yes/no</t>
        </is>
      </c>
      <c r="F36" s="13" t="inlineStr">
        <is>
          <t>Base</t>
        </is>
      </c>
      <c r="G36" s="4" t="inlineStr">
        <is>
          <t>Transaction counsel confirmation</t>
        </is>
      </c>
      <c r="H36" s="14" t="n">
        <v>45922</v>
      </c>
      <c r="I36" s="15" t="inlineStr">
        <is>
          <t>Review</t>
        </is>
      </c>
      <c r="J36" s="4" t="inlineStr">
        <is>
          <t>Sarah Chen, CPA</t>
        </is>
      </c>
    </row>
    <row r="37">
      <c r="A37" s="4" t="inlineStr">
        <is>
          <t>EQTY-01</t>
        </is>
      </c>
      <c r="B37" s="4" t="inlineStr">
        <is>
          <t>Equity Transfer</t>
        </is>
      </c>
      <c r="C37" s="4" t="inlineStr">
        <is>
          <t>Assumed partnership liabilities</t>
        </is>
      </c>
      <c r="D37" s="8" t="n">
        <v>8425000</v>
      </c>
      <c r="E37" s="4" t="inlineStr">
        <is>
          <t>USD</t>
        </is>
      </c>
      <c r="F37" s="13" t="inlineStr">
        <is>
          <t>Base</t>
        </is>
      </c>
      <c r="G37" s="4" t="inlineStr">
        <is>
          <t>Partnership liability schedule</t>
        </is>
      </c>
      <c r="H37" s="14" t="n">
        <v>45922</v>
      </c>
      <c r="I37" s="4" t="inlineStr">
        <is>
          <t>Confirmed</t>
        </is>
      </c>
      <c r="J37" s="4" t="inlineStr">
        <is>
          <t>Sarah Chen, CPA</t>
        </is>
      </c>
    </row>
    <row r="38">
      <c r="A38" s="4" t="inlineStr">
        <is>
          <t>EQTY-02</t>
        </is>
      </c>
      <c r="B38" s="4" t="inlineStr">
        <is>
          <t>Equity Transfer</t>
        </is>
      </c>
      <c r="C38" s="4" t="inlineStr">
        <is>
          <t>Section 751 ordinary income</t>
        </is>
      </c>
      <c r="D38" s="8" t="n">
        <v>1248775</v>
      </c>
      <c r="E38" s="4" t="inlineStr">
        <is>
          <t>USD</t>
        </is>
      </c>
      <c r="F38" s="13" t="inlineStr">
        <is>
          <t>Base</t>
        </is>
      </c>
      <c r="G38" s="4" t="inlineStr">
        <is>
          <t>IRC section 751 hot-asset review</t>
        </is>
      </c>
      <c r="H38" s="14" t="n">
        <v>45922</v>
      </c>
      <c r="I38" s="4" t="inlineStr">
        <is>
          <t>Preliminary</t>
        </is>
      </c>
      <c r="J38" s="4" t="inlineStr">
        <is>
          <t>Sarah Chen, CPA</t>
        </is>
      </c>
    </row>
    <row r="39">
      <c r="A39" s="4" t="inlineStr">
        <is>
          <t>EQTY-03</t>
        </is>
      </c>
      <c r="B39" s="4" t="inlineStr">
        <is>
          <t>Equity Transfer</t>
        </is>
      </c>
      <c r="C39" s="4" t="inlineStr">
        <is>
          <t>Controlling interest transferred</t>
        </is>
      </c>
      <c r="D39" s="4" t="inlineStr">
        <is>
          <t>Yes</t>
        </is>
      </c>
      <c r="E39" s="4" t="inlineStr">
        <is>
          <t>yes/no</t>
        </is>
      </c>
      <c r="F39" s="13" t="inlineStr">
        <is>
          <t>Base</t>
        </is>
      </c>
      <c r="G39" s="4" t="inlineStr">
        <is>
          <t>Equity term sheet draft</t>
        </is>
      </c>
      <c r="H39" s="14" t="n">
        <v>45918</v>
      </c>
      <c r="I39" s="15" t="inlineStr">
        <is>
          <t>Review</t>
        </is>
      </c>
      <c r="J39" s="4" t="inlineStr">
        <is>
          <t>Michael Donovan</t>
        </is>
      </c>
    </row>
    <row r="40">
      <c r="A40" s="4" t="inlineStr">
        <is>
          <t>EQTY-04</t>
        </is>
      </c>
      <c r="B40" s="4" t="inlineStr">
        <is>
          <t>Equity Transfer</t>
        </is>
      </c>
      <c r="C40" s="4" t="inlineStr">
        <is>
          <t>Foreign seller status</t>
        </is>
      </c>
      <c r="D40" s="4" t="inlineStr">
        <is>
          <t>Domestic</t>
        </is>
      </c>
      <c r="E40" s="4" t="inlineStr">
        <is>
          <t>status</t>
        </is>
      </c>
      <c r="F40" s="13" t="inlineStr">
        <is>
          <t>Base</t>
        </is>
      </c>
      <c r="G40" s="4" t="inlineStr">
        <is>
          <t>Management representation</t>
        </is>
      </c>
      <c r="H40" s="14" t="n">
        <v>45922</v>
      </c>
      <c r="I40" s="15" t="inlineStr">
        <is>
          <t>Review</t>
        </is>
      </c>
      <c r="J40" s="4" t="inlineStr">
        <is>
          <t>Elena Brooks</t>
        </is>
      </c>
    </row>
    <row r="41">
      <c r="A41" s="4" t="inlineStr">
        <is>
          <t>EQTY-05</t>
        </is>
      </c>
      <c r="B41" s="4" t="inlineStr">
        <is>
          <t>Equity Transfer</t>
        </is>
      </c>
      <c r="C41" s="4" t="inlineStr">
        <is>
          <t>FIRPTA / section 1446(f) withholding</t>
        </is>
      </c>
      <c r="D41" s="4" t="inlineStr">
        <is>
          <t>Review</t>
        </is>
      </c>
      <c r="E41" s="4" t="inlineStr">
        <is>
          <t>status</t>
        </is>
      </c>
      <c r="F41" s="13" t="inlineStr">
        <is>
          <t>Base</t>
        </is>
      </c>
      <c r="G41" s="4" t="inlineStr">
        <is>
          <t>Counsel checklist</t>
        </is>
      </c>
      <c r="H41" s="14" t="n">
        <v>45922</v>
      </c>
      <c r="I41" s="15" t="inlineStr">
        <is>
          <t>Review</t>
        </is>
      </c>
      <c r="J41" s="4" t="inlineStr">
        <is>
          <t>Priya Raman</t>
        </is>
      </c>
    </row>
    <row r="42">
      <c r="A42" s="4" t="inlineStr">
        <is>
          <t>CA-01</t>
        </is>
      </c>
      <c r="B42" s="4" t="inlineStr">
        <is>
          <t>California Tax</t>
        </is>
      </c>
      <c r="C42" s="4" t="inlineStr">
        <is>
          <t>Los Angeles County rate per $1,000</t>
        </is>
      </c>
      <c r="D42" s="8" t="n">
        <v>1.1</v>
      </c>
      <c r="E42" s="4" t="inlineStr">
        <is>
          <t>rate per $1,000</t>
        </is>
      </c>
      <c r="F42" s="13" t="inlineStr">
        <is>
          <t>Base</t>
        </is>
      </c>
      <c r="G42" s="4" t="inlineStr">
        <is>
          <t>Los Angeles County declaration</t>
        </is>
      </c>
      <c r="H42" s="14" t="n">
        <v>45922</v>
      </c>
      <c r="I42" s="4" t="inlineStr">
        <is>
          <t>Confirmed</t>
        </is>
      </c>
      <c r="J42" s="4" t="inlineStr">
        <is>
          <t>Sarah Chen, CPA</t>
        </is>
      </c>
    </row>
    <row r="43">
      <c r="A43" s="4" t="inlineStr">
        <is>
          <t>CA-02</t>
        </is>
      </c>
      <c r="B43" s="4" t="inlineStr">
        <is>
          <t>California Tax</t>
        </is>
      </c>
      <c r="C43" s="4" t="inlineStr">
        <is>
          <t>City of Los Angeles rate per $1,000</t>
        </is>
      </c>
      <c r="D43" s="8" t="n">
        <v>4.5</v>
      </c>
      <c r="E43" s="4" t="inlineStr">
        <is>
          <t>rate per $1,000</t>
        </is>
      </c>
      <c r="F43" s="13" t="inlineStr">
        <is>
          <t>Base</t>
        </is>
      </c>
      <c r="G43" s="4" t="inlineStr">
        <is>
          <t>Los Angeles County declaration</t>
        </is>
      </c>
      <c r="H43" s="14" t="n">
        <v>45922</v>
      </c>
      <c r="I43" s="4" t="inlineStr">
        <is>
          <t>Confirmed</t>
        </is>
      </c>
      <c r="J43" s="4" t="inlineStr">
        <is>
          <t>Sarah Chen, CPA</t>
        </is>
      </c>
    </row>
    <row r="44">
      <c r="A44" s="4" t="inlineStr">
        <is>
          <t>CA-03</t>
        </is>
      </c>
      <c r="B44" s="4" t="inlineStr">
        <is>
          <t>California Tax</t>
        </is>
      </c>
      <c r="C44" s="4" t="inlineStr">
        <is>
          <t>Exemption assumed</t>
        </is>
      </c>
      <c r="D44" s="4" t="inlineStr">
        <is>
          <t>None</t>
        </is>
      </c>
      <c r="E44" s="4" t="inlineStr">
        <is>
          <t>text</t>
        </is>
      </c>
      <c r="F44" s="13" t="inlineStr">
        <is>
          <t>Base</t>
        </is>
      </c>
      <c r="G44" s="4" t="inlineStr">
        <is>
          <t>Los Angeles County declaration</t>
        </is>
      </c>
      <c r="H44" s="14" t="n">
        <v>45922</v>
      </c>
      <c r="I44" s="4" t="inlineStr">
        <is>
          <t>Confirmed</t>
        </is>
      </c>
      <c r="J44" s="4" t="inlineStr">
        <is>
          <t>Sarah Chen, CPA</t>
        </is>
      </c>
    </row>
    <row r="45">
      <c r="A45" s="4" t="inlineStr">
        <is>
          <t>PUB-01</t>
        </is>
      </c>
      <c r="B45" s="4" t="inlineStr">
        <is>
          <t>Control</t>
        </is>
      </c>
      <c r="C45" s="4" t="inlineStr">
        <is>
          <t>Agree Realty properties at December 31, 2024</t>
        </is>
      </c>
      <c r="D45" s="17" t="n">
        <v>2370</v>
      </c>
      <c r="E45" s="4" t="inlineStr">
        <is>
          <t>properties</t>
        </is>
      </c>
      <c r="F45" s="13" t="inlineStr">
        <is>
          <t>Base</t>
        </is>
      </c>
      <c r="G45" s="4" t="inlineStr">
        <is>
          <t>sources/Agree_Realty_2024_Annual_Report.pdf</t>
        </is>
      </c>
      <c r="H45" s="14" t="n">
        <v>45717</v>
      </c>
      <c r="I45" s="4" t="inlineStr">
        <is>
          <t>Confirmed</t>
        </is>
      </c>
      <c r="J45" s="4" t="inlineStr">
        <is>
          <t>Elena Brooks</t>
        </is>
      </c>
    </row>
    <row r="46">
      <c r="A46" s="4" t="inlineStr">
        <is>
          <t>PUB-02</t>
        </is>
      </c>
      <c r="B46" s="4" t="inlineStr">
        <is>
          <t>Control</t>
        </is>
      </c>
      <c r="C46" s="4" t="inlineStr">
        <is>
          <t>Agree Realty portfolio square feet</t>
        </is>
      </c>
      <c r="D46" s="17" t="n">
        <v>48800000</v>
      </c>
      <c r="E46" s="4" t="inlineStr">
        <is>
          <t>square feet</t>
        </is>
      </c>
      <c r="F46" s="13" t="inlineStr">
        <is>
          <t>Base</t>
        </is>
      </c>
      <c r="G46" s="4" t="inlineStr">
        <is>
          <t>sources/Agree_Realty_2024_Annual_Report.pdf</t>
        </is>
      </c>
      <c r="H46" s="14" t="n">
        <v>45717</v>
      </c>
      <c r="I46" s="4" t="inlineStr">
        <is>
          <t>Confirmed</t>
        </is>
      </c>
      <c r="J46" s="4" t="inlineStr">
        <is>
          <t>Elena Brooks</t>
        </is>
      </c>
    </row>
    <row r="47">
      <c r="A47" s="4" t="inlineStr">
        <is>
          <t>PUB-03</t>
        </is>
      </c>
      <c r="B47" s="4" t="inlineStr">
        <is>
          <t>Control</t>
        </is>
      </c>
      <c r="C47" s="4" t="inlineStr">
        <is>
          <t>Agree Realty occupancy</t>
        </is>
      </c>
      <c r="D47" s="16" t="n">
        <v>0.996</v>
      </c>
      <c r="E47" s="4" t="inlineStr">
        <is>
          <t>percentage</t>
        </is>
      </c>
      <c r="F47" s="13" t="inlineStr">
        <is>
          <t>Base</t>
        </is>
      </c>
      <c r="G47" s="4" t="inlineStr">
        <is>
          <t>sources/Agree_Realty_2024_Annual_Report.pdf</t>
        </is>
      </c>
      <c r="H47" s="14" t="n">
        <v>45717</v>
      </c>
      <c r="I47" s="4" t="inlineStr">
        <is>
          <t>Confirmed</t>
        </is>
      </c>
      <c r="J47" s="4" t="inlineStr">
        <is>
          <t>Elena Brooks</t>
        </is>
      </c>
    </row>
    <row r="48">
      <c r="A48" s="4" t="inlineStr">
        <is>
          <t>PUB-04</t>
        </is>
      </c>
      <c r="B48" s="4" t="inlineStr">
        <is>
          <t>Control</t>
        </is>
      </c>
      <c r="C48" s="4" t="inlineStr">
        <is>
          <t>Agree Realty 2024 gross disposition proceeds</t>
        </is>
      </c>
      <c r="D48" s="8" t="n">
        <v>98400000</v>
      </c>
      <c r="E48" s="4" t="inlineStr">
        <is>
          <t>USD</t>
        </is>
      </c>
      <c r="F48" s="13" t="inlineStr">
        <is>
          <t>Base</t>
        </is>
      </c>
      <c r="G48" s="4" t="inlineStr">
        <is>
          <t>sources/Agree_Realty_2024_Annual_Report.pdf</t>
        </is>
      </c>
      <c r="H48" s="14" t="n">
        <v>45717</v>
      </c>
      <c r="I48" s="4" t="inlineStr">
        <is>
          <t>Confirmed</t>
        </is>
      </c>
      <c r="J48" s="4" t="inlineStr">
        <is>
          <t>Elena Brooks</t>
        </is>
      </c>
    </row>
    <row r="49">
      <c r="A49" s="4" t="inlineStr">
        <is>
          <t>PUB-05</t>
        </is>
      </c>
      <c r="B49" s="4" t="inlineStr">
        <is>
          <t>Control</t>
        </is>
      </c>
      <c r="C49" s="4" t="inlineStr">
        <is>
          <t>Agree Realty properties sold in 2024</t>
        </is>
      </c>
      <c r="D49" s="17" t="n">
        <v>26</v>
      </c>
      <c r="E49" s="4" t="inlineStr">
        <is>
          <t>properties</t>
        </is>
      </c>
      <c r="F49" s="13" t="inlineStr">
        <is>
          <t>Base</t>
        </is>
      </c>
      <c r="G49" s="4" t="inlineStr">
        <is>
          <t>sources/Agree_Realty_2024_Annual_Report.pdf</t>
        </is>
      </c>
      <c r="H49" s="14" t="n">
        <v>45717</v>
      </c>
      <c r="I49" s="4" t="inlineStr">
        <is>
          <t>Confirmed</t>
        </is>
      </c>
      <c r="J49" s="4" t="inlineStr">
        <is>
          <t>Elena Brooks</t>
        </is>
      </c>
    </row>
    <row r="50">
      <c r="A50" s="4" t="inlineStr">
        <is>
          <t>PUB-06</t>
        </is>
      </c>
      <c r="B50" s="4" t="inlineStr">
        <is>
          <t>Control</t>
        </is>
      </c>
      <c r="C50" s="4" t="inlineStr">
        <is>
          <t>Realty Income properties at September 30, 2024</t>
        </is>
      </c>
      <c r="D50" s="17" t="n">
        <v>15457</v>
      </c>
      <c r="E50" s="4" t="inlineStr">
        <is>
          <t>properties</t>
        </is>
      </c>
      <c r="F50" s="13" t="inlineStr">
        <is>
          <t>Base</t>
        </is>
      </c>
      <c r="G50" s="4" t="inlineStr">
        <is>
          <t>sources/Realty_Income_2024_Q3_Earnings_Dispositions.pdf</t>
        </is>
      </c>
      <c r="H50" s="14" t="n">
        <v>45596</v>
      </c>
      <c r="I50" s="4" t="inlineStr">
        <is>
          <t>Confirmed</t>
        </is>
      </c>
      <c r="J50" s="4" t="inlineStr">
        <is>
          <t>Elena Brooks</t>
        </is>
      </c>
    </row>
    <row r="51">
      <c r="A51" s="4" t="inlineStr">
        <is>
          <t>PUB-07</t>
        </is>
      </c>
      <c r="B51" s="4" t="inlineStr">
        <is>
          <t>Control</t>
        </is>
      </c>
      <c r="C51" s="4" t="inlineStr">
        <is>
          <t>Realty Income occupancy</t>
        </is>
      </c>
      <c r="D51" s="16" t="n">
        <v>0.987</v>
      </c>
      <c r="E51" s="4" t="inlineStr">
        <is>
          <t>percentage</t>
        </is>
      </c>
      <c r="F51" s="13" t="inlineStr">
        <is>
          <t>Base</t>
        </is>
      </c>
      <c r="G51" s="4" t="inlineStr">
        <is>
          <t>sources/Realty_Income_2024_Q3_Earnings_Dispositions.pdf</t>
        </is>
      </c>
      <c r="H51" s="14" t="n">
        <v>45596</v>
      </c>
      <c r="I51" s="4" t="inlineStr">
        <is>
          <t>Confirmed</t>
        </is>
      </c>
      <c r="J51" s="4" t="inlineStr">
        <is>
          <t>Elena Brooks</t>
        </is>
      </c>
    </row>
    <row r="52">
      <c r="A52" s="4" t="inlineStr">
        <is>
          <t>PUB-08</t>
        </is>
      </c>
      <c r="B52" s="4" t="inlineStr">
        <is>
          <t>Control</t>
        </is>
      </c>
      <c r="C52" s="4" t="inlineStr">
        <is>
          <t>Realty Income Q3 2024 net sales proceeds</t>
        </is>
      </c>
      <c r="D52" s="8" t="n">
        <v>249500000</v>
      </c>
      <c r="E52" s="4" t="inlineStr">
        <is>
          <t>USD</t>
        </is>
      </c>
      <c r="F52" s="13" t="inlineStr">
        <is>
          <t>Base</t>
        </is>
      </c>
      <c r="G52" s="4" t="inlineStr">
        <is>
          <t>sources/Realty_Income_2024_Q3_Earnings_Dispositions.pdf</t>
        </is>
      </c>
      <c r="H52" s="14" t="n">
        <v>45596</v>
      </c>
      <c r="I52" s="4" t="inlineStr">
        <is>
          <t>Confirmed</t>
        </is>
      </c>
      <c r="J52" s="4" t="inlineStr">
        <is>
          <t>Elena Brooks</t>
        </is>
      </c>
    </row>
    <row r="53">
      <c r="A53" s="4" t="inlineStr">
        <is>
          <t>PUB-09</t>
        </is>
      </c>
      <c r="B53" s="4" t="inlineStr">
        <is>
          <t>Control</t>
        </is>
      </c>
      <c r="C53" s="4" t="inlineStr">
        <is>
          <t>Realty Income first nine months 2024 net sales proceeds</t>
        </is>
      </c>
      <c r="D53" s="8" t="n">
        <v>451400000</v>
      </c>
      <c r="E53" s="4" t="inlineStr">
        <is>
          <t>USD</t>
        </is>
      </c>
      <c r="F53" s="13" t="inlineStr">
        <is>
          <t>Base</t>
        </is>
      </c>
      <c r="G53" s="4" t="inlineStr">
        <is>
          <t>sources/Realty_Income_2024_Q3_Earnings_Dispositions.pdf</t>
        </is>
      </c>
      <c r="H53" s="14" t="n">
        <v>45596</v>
      </c>
      <c r="I53" s="4" t="inlineStr">
        <is>
          <t>Confirmed</t>
        </is>
      </c>
      <c r="J53" s="4" t="inlineStr">
        <is>
          <t>Elena Brooks</t>
        </is>
      </c>
    </row>
    <row r="54">
      <c r="A54" s="4" t="inlineStr">
        <is>
          <t>PUB-10</t>
        </is>
      </c>
      <c r="B54" s="4" t="inlineStr">
        <is>
          <t>Control</t>
        </is>
      </c>
      <c r="C54" s="4" t="inlineStr">
        <is>
          <t>Realty Income Q3 2024 properties sold</t>
        </is>
      </c>
      <c r="D54" s="17" t="n">
        <v>92</v>
      </c>
      <c r="E54" s="4" t="inlineStr">
        <is>
          <t>properties</t>
        </is>
      </c>
      <c r="F54" s="13" t="inlineStr">
        <is>
          <t>Base</t>
        </is>
      </c>
      <c r="G54" s="4" t="inlineStr">
        <is>
          <t>sources/Realty_Income_2024_Q3_Earnings_Dispositions.pdf</t>
        </is>
      </c>
      <c r="H54" s="14" t="n">
        <v>45596</v>
      </c>
      <c r="I54" s="15" t="inlineStr">
        <is>
          <t>Review</t>
        </is>
      </c>
      <c r="J54" s="4" t="inlineStr">
        <is>
          <t>Elena Brooks</t>
        </is>
      </c>
    </row>
    <row r="55">
      <c r="A55" s="4" t="inlineStr">
        <is>
          <t>PUB-11</t>
        </is>
      </c>
      <c r="B55" s="4" t="inlineStr">
        <is>
          <t>Control</t>
        </is>
      </c>
      <c r="C55" s="4" t="inlineStr">
        <is>
          <t>Realty Income first nine months 2024 properties sold</t>
        </is>
      </c>
      <c r="D55" s="17" t="n">
        <v>214</v>
      </c>
      <c r="E55" s="4" t="inlineStr">
        <is>
          <t>properties</t>
        </is>
      </c>
      <c r="F55" s="13" t="inlineStr">
        <is>
          <t>Base</t>
        </is>
      </c>
      <c r="G55" s="4" t="inlineStr">
        <is>
          <t>sources/Realty_Income_2024_Q3_Earnings_Dispositions.pdf</t>
        </is>
      </c>
      <c r="H55" s="14" t="n">
        <v>45596</v>
      </c>
      <c r="I55" s="4" t="inlineStr">
        <is>
          <t>Confirmed</t>
        </is>
      </c>
      <c r="J55" s="4" t="inlineStr">
        <is>
          <t>Elena Brooks</t>
        </is>
      </c>
    </row>
    <row r="56">
      <c r="A56" s="4" t="inlineStr">
        <is>
          <t>CA-04</t>
        </is>
      </c>
      <c r="B56" s="4" t="inlineStr">
        <is>
          <t>California Tax</t>
        </is>
      </c>
      <c r="C56" s="4" t="inlineStr">
        <is>
          <t>City controlling-interest threshold</t>
        </is>
      </c>
      <c r="D56" s="16" t="n">
        <v>0.5</v>
      </c>
      <c r="E56" s="4" t="inlineStr">
        <is>
          <t>percentage</t>
        </is>
      </c>
      <c r="F56" s="13" t="inlineStr">
        <is>
          <t>Base</t>
        </is>
      </c>
      <c r="G56" s="4" t="inlineStr">
        <is>
          <t>Los Angeles County declaration</t>
        </is>
      </c>
      <c r="H56" s="14" t="n">
        <v>45922</v>
      </c>
      <c r="I56" s="4" t="inlineStr">
        <is>
          <t>Confirmed</t>
        </is>
      </c>
      <c r="J56" s="4" t="inlineStr">
        <is>
          <t>Priya Raman</t>
        </is>
      </c>
    </row>
    <row r="57">
      <c r="A57" s="4" t="inlineStr">
        <is>
          <t>CTRL-03</t>
        </is>
      </c>
      <c r="B57" s="4" t="inlineStr">
        <is>
          <t>Control</t>
        </is>
      </c>
      <c r="C57" s="4" t="inlineStr">
        <is>
          <t>Model status</t>
        </is>
      </c>
      <c r="D57" s="4" t="inlineStr">
        <is>
          <t>Review-ready planning model</t>
        </is>
      </c>
      <c r="E57" s="4" t="inlineStr">
        <is>
          <t>text</t>
        </is>
      </c>
      <c r="F57" s="13" t="inlineStr">
        <is>
          <t>Base</t>
        </is>
      </c>
      <c r="G57" s="4" t="inlineStr">
        <is>
          <t>Model convention</t>
        </is>
      </c>
      <c r="H57" s="14" t="n">
        <v>45922</v>
      </c>
      <c r="I57" s="15" t="inlineStr">
        <is>
          <t>Review</t>
        </is>
      </c>
      <c r="J57" s="4" t="inlineStr">
        <is>
          <t>Sarah Chen, CPA</t>
        </is>
      </c>
    </row>
    <row r="58"/>
    <row r="59"/>
    <row r="60" ht="18" customHeight="1">
      <c r="A60" s="18" t="inlineStr">
        <is>
          <t>Blue font = hard-coded input; green fill = upside; orange fill = downside; yellow = open review item.</t>
        </is>
      </c>
    </row>
    <row r="61"/>
    <row r="62"/>
    <row r="63"/>
    <row r="64"/>
    <row r="65"/>
    <row r="66"/>
    <row r="67"/>
    <row r="68"/>
    <row r="69"/>
    <row r="70"/>
    <row r="71"/>
    <row r="72">
      <c r="A72" s="19" t="inlineStr">
        <is>
          <t>End of controlled assumption register</t>
        </is>
      </c>
    </row>
  </sheetData>
  <autoFilter ref="A5:J57"/>
  <mergeCells count="4">
    <mergeCell ref="A1:J1"/>
    <mergeCell ref="A4:J4"/>
    <mergeCell ref="A60:J60"/>
    <mergeCell ref="A2:J2"/>
  </mergeCells>
  <conditionalFormatting sqref="I6:I57">
    <cfRule type="expression" priority="1" dxfId="2">
      <formula>EXACT($I6,"Review")</formula>
    </cfRule>
  </conditionalFormatting>
  <conditionalFormatting sqref="D6:D57">
    <cfRule type="expression" priority="2" dxfId="3">
      <formula>AND($D6="",$C6&lt;&gt;"")</formula>
    </cfRule>
  </conditionalFormatting>
  <dataValidations count="2">
    <dataValidation sqref="F6:F57" showDropDown="0" showInputMessage="0" showErrorMessage="0" allowBlank="1" type="list">
      <formula1>"Base,Downside,Upside,Not Applicable"</formula1>
    </dataValidation>
    <dataValidation sqref="I6:I57" showDropDown="0" showInputMessage="0" showErrorMessage="0" allowBlank="1" type="list">
      <formula1>"Confirmed,Preliminary,Review,Superseded"</formula1>
    </dataValidation>
  </dataValidations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6"/>
  <sheetViews>
    <sheetView showGridLines="0" zoomScale="85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34" customWidth="1" min="3" max="3"/>
    <col width="15" customWidth="1" min="4" max="4"/>
    <col width="16" customWidth="1" min="5" max="5"/>
    <col width="18" customWidth="1" min="6" max="6"/>
    <col width="14" customWidth="1" min="7" max="7"/>
    <col width="17" customWidth="1" min="8" max="8"/>
    <col width="20" customWidth="1" min="9" max="9"/>
    <col width="18" customWidth="1" min="10" max="10"/>
    <col width="14" customWidth="1" min="11" max="11"/>
    <col width="14" customWidth="1" min="12" max="12"/>
    <col width="44" customWidth="1" min="13" max="13"/>
  </cols>
  <sheetData>
    <row r="1" ht="24" customHeight="1">
      <c r="A1" s="1" t="inlineStr">
        <is>
          <t>ADC Fairfax &amp; 3rd Disposal Tax Model — Tax Basis</t>
        </is>
      </c>
    </row>
    <row r="2" ht="28" customHeight="1">
      <c r="A2" s="2" t="inlineStr">
        <is>
          <t>Asset-level tax basis rollforward through September 30, 2025. Adjusted tax basis includes allowed-or-allowable depreciation and retirement activity.</t>
        </is>
      </c>
    </row>
    <row r="3"/>
    <row r="4"/>
    <row r="5" ht="32" customHeight="1">
      <c r="A5" s="3" t="inlineStr">
        <is>
          <t>Asset ID</t>
        </is>
      </c>
      <c r="B5" s="3" t="inlineStr">
        <is>
          <t>Asset Component</t>
        </is>
      </c>
      <c r="C5" s="3" t="inlineStr">
        <is>
          <t>Tax Class</t>
        </is>
      </c>
      <c r="D5" s="3" t="inlineStr">
        <is>
          <t>Placed In Service</t>
        </is>
      </c>
      <c r="E5" s="3" t="inlineStr">
        <is>
          <t>Original Basis</t>
        </is>
      </c>
      <c r="F5" s="3" t="inlineStr">
        <is>
          <t>Capitalized Additions</t>
        </is>
      </c>
      <c r="G5" s="3" t="inlineStr">
        <is>
          <t>Retirements</t>
        </is>
      </c>
      <c r="H5" s="3" t="inlineStr">
        <is>
          <t>Gross Tax Basis</t>
        </is>
      </c>
      <c r="I5" s="3" t="inlineStr">
        <is>
          <t>Accumulated Depreciation</t>
        </is>
      </c>
      <c r="J5" s="3" t="inlineStr">
        <is>
          <t>Adjusted Tax Basis</t>
        </is>
      </c>
      <c r="K5" s="3" t="inlineStr">
        <is>
          <t>Section 1245 Flag</t>
        </is>
      </c>
      <c r="L5" s="3" t="inlineStr">
        <is>
          <t>Section 1250 Flag</t>
        </is>
      </c>
      <c r="M5" s="3" t="inlineStr">
        <is>
          <t>Reviewer Note</t>
        </is>
      </c>
    </row>
    <row r="6"/>
    <row r="7"/>
    <row r="8">
      <c r="A8" s="4" t="inlineStr">
        <is>
          <t>LAND-001</t>
        </is>
      </c>
      <c r="B8" s="4" t="inlineStr">
        <is>
          <t>Land</t>
        </is>
      </c>
      <c r="C8" s="4" t="inlineStr">
        <is>
          <t>Nondepreciable land</t>
        </is>
      </c>
      <c r="D8" s="14" t="n">
        <v>39767</v>
      </c>
      <c r="E8" s="8" t="n">
        <v>5814250</v>
      </c>
      <c r="F8" s="8" t="n">
        <v>0</v>
      </c>
      <c r="G8" s="8" t="n">
        <v>0</v>
      </c>
      <c r="H8" s="8">
        <f>E8+F8-G8</f>
        <v/>
      </c>
      <c r="I8" s="6">
        <f>SUMIFS(Depreciation!$J$8:$J$137,Depreciation!$A$8:$A$137,$A8)</f>
        <v/>
      </c>
      <c r="J8" s="8">
        <f>H8-I8</f>
        <v/>
      </c>
      <c r="K8" s="4" t="inlineStr">
        <is>
          <t>No</t>
        </is>
      </c>
      <c r="L8" s="4" t="inlineStr">
        <is>
          <t>No</t>
        </is>
      </c>
      <c r="M8" s="4" t="inlineStr"/>
    </row>
    <row r="9">
      <c r="A9" s="4" t="inlineStr">
        <is>
          <t>BLDG-001</t>
        </is>
      </c>
      <c r="B9" s="4" t="inlineStr">
        <is>
          <t>Shell building</t>
        </is>
      </c>
      <c r="C9" s="4" t="inlineStr">
        <is>
          <t>39-year nonresidential real property</t>
        </is>
      </c>
      <c r="D9" s="14" t="n">
        <v>39767</v>
      </c>
      <c r="E9" s="8" t="n">
        <v>7392601.67</v>
      </c>
      <c r="F9" s="8" t="n">
        <v>76686.74000000001</v>
      </c>
      <c r="G9" s="8" t="n">
        <v>0</v>
      </c>
      <c r="H9" s="8">
        <f>E9+F9-G9</f>
        <v/>
      </c>
      <c r="I9" s="6">
        <f>SUMIFS(Depreciation!$J$8:$J$137,Depreciation!$A$8:$A$137,$A9)</f>
        <v/>
      </c>
      <c r="J9" s="8">
        <f>H9-I9</f>
        <v/>
      </c>
      <c r="K9" s="4" t="inlineStr">
        <is>
          <t>No</t>
        </is>
      </c>
      <c r="L9" s="4" t="inlineStr">
        <is>
          <t>Yes</t>
        </is>
      </c>
      <c r="M9" s="4" t="inlineStr"/>
    </row>
    <row r="10">
      <c r="A10" s="4" t="inlineStr">
        <is>
          <t>BLDG-002</t>
        </is>
      </c>
      <c r="B10" s="4" t="inlineStr">
        <is>
          <t>Building structural systems</t>
        </is>
      </c>
      <c r="C10" s="4" t="inlineStr">
        <is>
          <t>39-year nonresidential real property</t>
        </is>
      </c>
      <c r="D10" s="14" t="n">
        <v>39767</v>
      </c>
      <c r="E10" s="8" t="n">
        <v>3013776.59</v>
      </c>
      <c r="F10" s="8" t="n">
        <v>19938.55</v>
      </c>
      <c r="G10" s="8" t="n">
        <v>0</v>
      </c>
      <c r="H10" s="8">
        <f>E10+F10-G10</f>
        <v/>
      </c>
      <c r="I10" s="6">
        <f>SUMIFS(Depreciation!$J$8:$J$137,Depreciation!$A$8:$A$137,$A10)</f>
        <v/>
      </c>
      <c r="J10" s="8">
        <f>H10-I10</f>
        <v/>
      </c>
      <c r="K10" s="4" t="inlineStr">
        <is>
          <t>No</t>
        </is>
      </c>
      <c r="L10" s="4" t="inlineStr">
        <is>
          <t>Yes</t>
        </is>
      </c>
      <c r="M10" s="4" t="inlineStr"/>
    </row>
    <row r="11">
      <c r="A11" s="4" t="inlineStr">
        <is>
          <t>ROOF-001</t>
        </is>
      </c>
      <c r="B11" s="4" t="inlineStr">
        <is>
          <t>Roof membrane</t>
        </is>
      </c>
      <c r="C11" s="4" t="inlineStr">
        <is>
          <t>39-year nonresidential real property</t>
        </is>
      </c>
      <c r="D11" s="14" t="n">
        <v>40634</v>
      </c>
      <c r="E11" s="8" t="n">
        <v>383311</v>
      </c>
      <c r="F11" s="8" t="n">
        <v>11319.12</v>
      </c>
      <c r="G11" s="8" t="n">
        <v>0</v>
      </c>
      <c r="H11" s="8">
        <f>E11+F11-G11</f>
        <v/>
      </c>
      <c r="I11" s="6">
        <f>SUMIFS(Depreciation!$J$8:$J$137,Depreciation!$A$8:$A$137,$A11)</f>
        <v/>
      </c>
      <c r="J11" s="8">
        <f>H11-I11</f>
        <v/>
      </c>
      <c r="K11" s="4" t="inlineStr">
        <is>
          <t>No</t>
        </is>
      </c>
      <c r="L11" s="4" t="inlineStr">
        <is>
          <t>Yes</t>
        </is>
      </c>
      <c r="M11" s="4" t="inlineStr"/>
    </row>
    <row r="12">
      <c r="A12" s="4" t="inlineStr">
        <is>
          <t>HVAC-001</t>
        </is>
      </c>
      <c r="B12" s="4" t="inlineStr">
        <is>
          <t>HVAC replacement</t>
        </is>
      </c>
      <c r="C12" s="4" t="inlineStr">
        <is>
          <t>15-year land improvement</t>
        </is>
      </c>
      <c r="D12" s="14" t="n">
        <v>41871</v>
      </c>
      <c r="E12" s="8" t="n">
        <v>299753.59</v>
      </c>
      <c r="F12" s="8" t="n">
        <v>7754.75</v>
      </c>
      <c r="G12" s="8" t="n">
        <v>0</v>
      </c>
      <c r="H12" s="8">
        <f>E12+F12-G12</f>
        <v/>
      </c>
      <c r="I12" s="6">
        <f>SUMIFS(Depreciation!$J$8:$J$137,Depreciation!$A$8:$A$137,$A12)</f>
        <v/>
      </c>
      <c r="J12" s="8">
        <f>H12-I12</f>
        <v/>
      </c>
      <c r="K12" s="4" t="inlineStr">
        <is>
          <t>Yes</t>
        </is>
      </c>
      <c r="L12" s="4" t="inlineStr">
        <is>
          <t>No</t>
        </is>
      </c>
      <c r="M12" s="4" t="inlineStr"/>
    </row>
    <row r="13">
      <c r="A13" s="4" t="inlineStr">
        <is>
          <t>ELEC-001</t>
        </is>
      </c>
      <c r="B13" s="4" t="inlineStr">
        <is>
          <t>Electrical panels</t>
        </is>
      </c>
      <c r="C13" s="4" t="inlineStr">
        <is>
          <t>7-year property</t>
        </is>
      </c>
      <c r="D13" s="14" t="n">
        <v>42412</v>
      </c>
      <c r="E13" s="8" t="n">
        <v>134892.22</v>
      </c>
      <c r="F13" s="8" t="n">
        <v>0</v>
      </c>
      <c r="G13" s="8" t="n">
        <v>0</v>
      </c>
      <c r="H13" s="8">
        <f>E13+F13-G13</f>
        <v/>
      </c>
      <c r="I13" s="6">
        <f>SUMIFS(Depreciation!$J$8:$J$137,Depreciation!$A$8:$A$137,$A13)</f>
        <v/>
      </c>
      <c r="J13" s="8">
        <f>H13-I13</f>
        <v/>
      </c>
      <c r="K13" s="4" t="inlineStr">
        <is>
          <t>Yes</t>
        </is>
      </c>
      <c r="L13" s="4" t="inlineStr">
        <is>
          <t>No</t>
        </is>
      </c>
      <c r="M13" s="4" t="inlineStr"/>
    </row>
    <row r="14">
      <c r="A14" s="4" t="inlineStr">
        <is>
          <t>PLUMB-001</t>
        </is>
      </c>
      <c r="B14" s="4" t="inlineStr">
        <is>
          <t>Plumbing fixtures</t>
        </is>
      </c>
      <c r="C14" s="4" t="inlineStr">
        <is>
          <t>15-year land improvement</t>
        </is>
      </c>
      <c r="D14" s="14" t="n">
        <v>42165</v>
      </c>
      <c r="E14" s="8" t="n">
        <v>108232.69</v>
      </c>
      <c r="F14" s="8" t="n">
        <v>2809.92</v>
      </c>
      <c r="G14" s="8" t="n">
        <v>0</v>
      </c>
      <c r="H14" s="8">
        <f>E14+F14-G14</f>
        <v/>
      </c>
      <c r="I14" s="6">
        <f>SUMIFS(Depreciation!$J$8:$J$137,Depreciation!$A$8:$A$137,$A14)</f>
        <v/>
      </c>
      <c r="J14" s="8">
        <f>H14-I14</f>
        <v/>
      </c>
      <c r="K14" s="4" t="inlineStr">
        <is>
          <t>Yes</t>
        </is>
      </c>
      <c r="L14" s="4" t="inlineStr">
        <is>
          <t>No</t>
        </is>
      </c>
      <c r="M14" s="4" t="inlineStr"/>
    </row>
    <row r="15">
      <c r="A15" s="4" t="inlineStr">
        <is>
          <t>PAVE-001</t>
        </is>
      </c>
      <c r="B15" s="4" t="inlineStr">
        <is>
          <t>Parking and paving</t>
        </is>
      </c>
      <c r="C15" s="4" t="inlineStr">
        <is>
          <t>15-year land improvement</t>
        </is>
      </c>
      <c r="D15" s="14" t="n">
        <v>40089</v>
      </c>
      <c r="E15" s="8" t="n">
        <v>549261.47</v>
      </c>
      <c r="F15" s="8" t="n">
        <v>11503.01</v>
      </c>
      <c r="G15" s="8" t="n">
        <v>0</v>
      </c>
      <c r="H15" s="8">
        <f>E15+F15-G15</f>
        <v/>
      </c>
      <c r="I15" s="6">
        <f>SUMIFS(Depreciation!$J$8:$J$137,Depreciation!$A$8:$A$137,$A15)</f>
        <v/>
      </c>
      <c r="J15" s="8">
        <f>H15-I15</f>
        <v/>
      </c>
      <c r="K15" s="4" t="inlineStr">
        <is>
          <t>No</t>
        </is>
      </c>
      <c r="L15" s="4" t="inlineStr">
        <is>
          <t>No</t>
        </is>
      </c>
      <c r="M15" s="4" t="inlineStr"/>
    </row>
    <row r="16">
      <c r="A16" s="4" t="inlineStr">
        <is>
          <t>SIGN-001</t>
        </is>
      </c>
      <c r="B16" s="4" t="inlineStr">
        <is>
          <t>Exterior signage</t>
        </is>
      </c>
      <c r="C16" s="4" t="inlineStr">
        <is>
          <t>7-year property</t>
        </is>
      </c>
      <c r="D16" s="14" t="n">
        <v>43288</v>
      </c>
      <c r="E16" s="8" t="n">
        <v>45552.41</v>
      </c>
      <c r="F16" s="8" t="n">
        <v>1307.05</v>
      </c>
      <c r="G16" s="8" t="n">
        <v>0</v>
      </c>
      <c r="H16" s="8">
        <f>E16+F16-G16</f>
        <v/>
      </c>
      <c r="I16" s="6">
        <f>SUMIFS(Depreciation!$J$8:$J$137,Depreciation!$A$8:$A$137,$A16)</f>
        <v/>
      </c>
      <c r="J16" s="8">
        <f>H16-I16</f>
        <v/>
      </c>
      <c r="K16" s="4" t="inlineStr">
        <is>
          <t>Yes</t>
        </is>
      </c>
      <c r="L16" s="4" t="inlineStr">
        <is>
          <t>No</t>
        </is>
      </c>
      <c r="M16" s="4" t="inlineStr"/>
    </row>
    <row r="17">
      <c r="A17" s="4" t="inlineStr">
        <is>
          <t>TI-001</t>
        </is>
      </c>
      <c r="B17" s="4" t="inlineStr">
        <is>
          <t>Tenant improvements</t>
        </is>
      </c>
      <c r="C17" s="4" t="inlineStr">
        <is>
          <t>15-year land improvement</t>
        </is>
      </c>
      <c r="D17" s="14" t="n">
        <v>43539</v>
      </c>
      <c r="E17" s="8" t="n">
        <v>251839.56</v>
      </c>
      <c r="F17" s="8" t="n">
        <v>13803.61</v>
      </c>
      <c r="G17" s="8" t="n">
        <v>2760.88</v>
      </c>
      <c r="H17" s="8">
        <f>E17+F17-G17</f>
        <v/>
      </c>
      <c r="I17" s="6">
        <f>SUMIFS(Depreciation!$J$8:$J$137,Depreciation!$A$8:$A$137,$A17)</f>
        <v/>
      </c>
      <c r="J17" s="8">
        <f>H17-I17</f>
        <v/>
      </c>
      <c r="K17" s="4" t="inlineStr">
        <is>
          <t>Yes</t>
        </is>
      </c>
      <c r="L17" s="4" t="inlineStr">
        <is>
          <t>No</t>
        </is>
      </c>
      <c r="M17" s="4" t="inlineStr">
        <is>
          <t>Partial retirement in 2022</t>
        </is>
      </c>
    </row>
    <row r="18">
      <c r="A18" s="4" t="inlineStr">
        <is>
          <t>FIX-001</t>
        </is>
      </c>
      <c r="B18" s="4" t="inlineStr">
        <is>
          <t>Store fixtures</t>
        </is>
      </c>
      <c r="C18" s="4" t="inlineStr">
        <is>
          <t>5-year property</t>
        </is>
      </c>
      <c r="D18" s="14" t="n">
        <v>43839</v>
      </c>
      <c r="E18" s="8" t="n">
        <v>55552</v>
      </c>
      <c r="F18" s="8" t="n">
        <v>2117.04</v>
      </c>
      <c r="G18" s="8" t="n">
        <v>0</v>
      </c>
      <c r="H18" s="8">
        <f>E18+F18-G18</f>
        <v/>
      </c>
      <c r="I18" s="6">
        <f>SUMIFS(Depreciation!$J$8:$J$137,Depreciation!$A$8:$A$137,$A18)</f>
        <v/>
      </c>
      <c r="J18" s="8">
        <f>H18-I18</f>
        <v/>
      </c>
      <c r="K18" s="4" t="inlineStr">
        <is>
          <t>Yes</t>
        </is>
      </c>
      <c r="L18" s="4" t="inlineStr">
        <is>
          <t>No</t>
        </is>
      </c>
      <c r="M18" s="4" t="inlineStr"/>
    </row>
    <row r="19">
      <c r="A19" s="4" t="inlineStr">
        <is>
          <t>ACQ-001</t>
        </is>
      </c>
      <c r="B19" s="4" t="inlineStr">
        <is>
          <t>Acquisition costs</t>
        </is>
      </c>
      <c r="C19" s="4" t="inlineStr">
        <is>
          <t>39-year nonresidential real property</t>
        </is>
      </c>
      <c r="D19" s="14" t="n">
        <v>39767</v>
      </c>
      <c r="E19" s="8" t="n">
        <v>389445.94</v>
      </c>
      <c r="F19" s="8" t="n">
        <v>0</v>
      </c>
      <c r="G19" s="8" t="n">
        <v>0</v>
      </c>
      <c r="H19" s="8">
        <f>E19+F19-G19</f>
        <v/>
      </c>
      <c r="I19" s="6">
        <f>SUMIFS(Depreciation!$J$8:$J$137,Depreciation!$A$8:$A$137,$A19)</f>
        <v/>
      </c>
      <c r="J19" s="8">
        <f>H19-I19</f>
        <v/>
      </c>
      <c r="K19" s="4" t="inlineStr">
        <is>
          <t>No</t>
        </is>
      </c>
      <c r="L19" s="4" t="inlineStr">
        <is>
          <t>Yes</t>
        </is>
      </c>
      <c r="M19" s="4" t="inlineStr"/>
    </row>
    <row r="20">
      <c r="A20" s="4" t="inlineStr">
        <is>
          <t>COMP-013</t>
        </is>
      </c>
      <c r="B20" s="4" t="inlineStr">
        <is>
          <t>Roof replacement</t>
        </is>
      </c>
      <c r="C20" s="4" t="inlineStr">
        <is>
          <t>39-year nonresidential real property</t>
        </is>
      </c>
      <c r="D20" s="14" t="n">
        <v>40179</v>
      </c>
      <c r="E20" s="8" t="n">
        <v>17177.83</v>
      </c>
      <c r="F20" s="8" t="n">
        <v>0</v>
      </c>
      <c r="G20" s="8" t="n">
        <v>0</v>
      </c>
      <c r="H20" s="8">
        <f>E20+F20-G20</f>
        <v/>
      </c>
      <c r="I20" s="6">
        <f>SUMIFS(Depreciation!$J$8:$J$137,Depreciation!$A$8:$A$137,$A20)</f>
        <v/>
      </c>
      <c r="J20" s="8">
        <f>H20-I20</f>
        <v/>
      </c>
      <c r="K20" s="4" t="inlineStr">
        <is>
          <t>No</t>
        </is>
      </c>
      <c r="L20" s="4" t="inlineStr">
        <is>
          <t>Yes</t>
        </is>
      </c>
      <c r="M20" s="4" t="inlineStr"/>
    </row>
    <row r="21">
      <c r="A21" s="4" t="inlineStr">
        <is>
          <t>COMP-014</t>
        </is>
      </c>
      <c r="B21" s="4" t="inlineStr">
        <is>
          <t>HVAC unit</t>
        </is>
      </c>
      <c r="C21" s="4" t="inlineStr">
        <is>
          <t>15-year land improvement</t>
        </is>
      </c>
      <c r="D21" s="14" t="n">
        <v>40641</v>
      </c>
      <c r="E21" s="8" t="n">
        <v>27804.45</v>
      </c>
      <c r="F21" s="8" t="n">
        <v>559.12</v>
      </c>
      <c r="G21" s="8" t="n">
        <v>0</v>
      </c>
      <c r="H21" s="8">
        <f>E21+F21-G21</f>
        <v/>
      </c>
      <c r="I21" s="6">
        <f>SUMIFS(Depreciation!$J$8:$J$137,Depreciation!$A$8:$A$137,$A21)</f>
        <v/>
      </c>
      <c r="J21" s="8">
        <f>H21-I21</f>
        <v/>
      </c>
      <c r="K21" s="4" t="inlineStr">
        <is>
          <t>No</t>
        </is>
      </c>
      <c r="L21" s="4" t="inlineStr">
        <is>
          <t>No</t>
        </is>
      </c>
      <c r="M21" s="4" t="inlineStr"/>
    </row>
    <row r="22">
      <c r="A22" s="4" t="inlineStr">
        <is>
          <t>COMP-015</t>
        </is>
      </c>
      <c r="B22" s="4" t="inlineStr">
        <is>
          <t>Electrical upgrade</t>
        </is>
      </c>
      <c r="C22" s="4" t="inlineStr">
        <is>
          <t>7-year property</t>
        </is>
      </c>
      <c r="D22" s="14" t="n">
        <v>41105</v>
      </c>
      <c r="E22" s="8" t="n">
        <v>38431.06</v>
      </c>
      <c r="F22" s="8" t="n">
        <v>1118.24</v>
      </c>
      <c r="G22" s="8" t="n">
        <v>0</v>
      </c>
      <c r="H22" s="8">
        <f>E22+F22-G22</f>
        <v/>
      </c>
      <c r="I22" s="6">
        <f>SUMIFS(Depreciation!$J$8:$J$137,Depreciation!$A$8:$A$137,$A22)</f>
        <v/>
      </c>
      <c r="J22" s="8">
        <f>H22-I22</f>
        <v/>
      </c>
      <c r="K22" s="4" t="inlineStr">
        <is>
          <t>Yes</t>
        </is>
      </c>
      <c r="L22" s="4" t="inlineStr">
        <is>
          <t>No</t>
        </is>
      </c>
      <c r="M22" s="4" t="inlineStr"/>
    </row>
    <row r="23">
      <c r="A23" s="4" t="inlineStr">
        <is>
          <t>COMP-016</t>
        </is>
      </c>
      <c r="B23" s="4" t="inlineStr">
        <is>
          <t>Tenant improvement</t>
        </is>
      </c>
      <c r="C23" s="4" t="inlineStr">
        <is>
          <t>5-year property</t>
        </is>
      </c>
      <c r="D23" s="14" t="n">
        <v>41569</v>
      </c>
      <c r="E23" s="8" t="n">
        <v>49057.68</v>
      </c>
      <c r="F23" s="8" t="n">
        <v>1677.36</v>
      </c>
      <c r="G23" s="8" t="n">
        <v>0</v>
      </c>
      <c r="H23" s="8">
        <f>E23+F23-G23</f>
        <v/>
      </c>
      <c r="I23" s="6">
        <f>SUMIFS(Depreciation!$J$8:$J$137,Depreciation!$A$8:$A$137,$A23)</f>
        <v/>
      </c>
      <c r="J23" s="8">
        <f>H23-I23</f>
        <v/>
      </c>
      <c r="K23" s="4" t="inlineStr">
        <is>
          <t>Yes</t>
        </is>
      </c>
      <c r="L23" s="4" t="inlineStr">
        <is>
          <t>No</t>
        </is>
      </c>
      <c r="M23" s="4" t="inlineStr"/>
    </row>
    <row r="24">
      <c r="A24" s="4" t="inlineStr">
        <is>
          <t>COMP-017</t>
        </is>
      </c>
      <c r="B24" s="4" t="inlineStr">
        <is>
          <t>Paving section</t>
        </is>
      </c>
      <c r="C24" s="4" t="inlineStr">
        <is>
          <t>39-year nonresidential real property</t>
        </is>
      </c>
      <c r="D24" s="14" t="n">
        <v>41643</v>
      </c>
      <c r="E24" s="8" t="n">
        <v>59684.3</v>
      </c>
      <c r="F24" s="8" t="n">
        <v>2236.48</v>
      </c>
      <c r="G24" s="8" t="n">
        <v>0</v>
      </c>
      <c r="H24" s="8">
        <f>E24+F24-G24</f>
        <v/>
      </c>
      <c r="I24" s="6">
        <f>SUMIFS(Depreciation!$J$8:$J$137,Depreciation!$A$8:$A$137,$A24)</f>
        <v/>
      </c>
      <c r="J24" s="8">
        <f>H24-I24</f>
        <v/>
      </c>
      <c r="K24" s="4" t="inlineStr">
        <is>
          <t>No</t>
        </is>
      </c>
      <c r="L24" s="4" t="inlineStr">
        <is>
          <t>Yes</t>
        </is>
      </c>
      <c r="M24" s="4" t="inlineStr"/>
    </row>
    <row r="25">
      <c r="A25" s="4" t="inlineStr">
        <is>
          <t>COMP-018</t>
        </is>
      </c>
      <c r="B25" s="4" t="inlineStr">
        <is>
          <t>Plumbing replacement</t>
        </is>
      </c>
      <c r="C25" s="4" t="inlineStr">
        <is>
          <t>15-year land improvement</t>
        </is>
      </c>
      <c r="D25" s="14" t="n">
        <v>42105</v>
      </c>
      <c r="E25" s="8" t="n">
        <v>70310.91</v>
      </c>
      <c r="F25" s="8" t="n">
        <v>2795.6</v>
      </c>
      <c r="G25" s="8" t="n">
        <v>0</v>
      </c>
      <c r="H25" s="8">
        <f>E25+F25-G25</f>
        <v/>
      </c>
      <c r="I25" s="6">
        <f>SUMIFS(Depreciation!$J$8:$J$137,Depreciation!$A$8:$A$137,$A25)</f>
        <v/>
      </c>
      <c r="J25" s="8">
        <f>H25-I25</f>
        <v/>
      </c>
      <c r="K25" s="4" t="inlineStr">
        <is>
          <t>No</t>
        </is>
      </c>
      <c r="L25" s="4" t="inlineStr">
        <is>
          <t>No</t>
        </is>
      </c>
      <c r="M25" s="4" t="inlineStr"/>
    </row>
    <row r="26">
      <c r="A26" s="4" t="inlineStr">
        <is>
          <t>COMP-019</t>
        </is>
      </c>
      <c r="B26" s="4" t="inlineStr">
        <is>
          <t>Store fixture</t>
        </is>
      </c>
      <c r="C26" s="4" t="inlineStr">
        <is>
          <t>7-year property</t>
        </is>
      </c>
      <c r="D26" s="14" t="n">
        <v>42569</v>
      </c>
      <c r="E26" s="8" t="n">
        <v>80937.53</v>
      </c>
      <c r="F26" s="8" t="n">
        <v>3354.72</v>
      </c>
      <c r="G26" s="8" t="n">
        <v>0</v>
      </c>
      <c r="H26" s="8">
        <f>E26+F26-G26</f>
        <v/>
      </c>
      <c r="I26" s="6">
        <f>SUMIFS(Depreciation!$J$8:$J$137,Depreciation!$A$8:$A$137,$A26)</f>
        <v/>
      </c>
      <c r="J26" s="8">
        <f>H26-I26</f>
        <v/>
      </c>
      <c r="K26" s="4" t="inlineStr">
        <is>
          <t>Yes</t>
        </is>
      </c>
      <c r="L26" s="4" t="inlineStr">
        <is>
          <t>No</t>
        </is>
      </c>
      <c r="M26" s="4" t="inlineStr"/>
    </row>
    <row r="27">
      <c r="A27" s="4" t="inlineStr">
        <is>
          <t>COMP-020</t>
        </is>
      </c>
      <c r="B27" s="4" t="inlineStr">
        <is>
          <t>Exterior signage</t>
        </is>
      </c>
      <c r="C27" s="4" t="inlineStr">
        <is>
          <t>5-year property</t>
        </is>
      </c>
      <c r="D27" s="14" t="n">
        <v>43033</v>
      </c>
      <c r="E27" s="8" t="n">
        <v>91564.14</v>
      </c>
      <c r="F27" s="8" t="n">
        <v>3913.84</v>
      </c>
      <c r="G27" s="8" t="n">
        <v>1362.16</v>
      </c>
      <c r="H27" s="8">
        <f>E27+F27-G27</f>
        <v/>
      </c>
      <c r="I27" s="6">
        <f>SUMIFS(Depreciation!$J$8:$J$137,Depreciation!$A$8:$A$137,$A27)</f>
        <v/>
      </c>
      <c r="J27" s="8">
        <f>H27-I27</f>
        <v/>
      </c>
      <c r="K27" s="4" t="inlineStr">
        <is>
          <t>Yes</t>
        </is>
      </c>
      <c r="L27" s="4" t="inlineStr">
        <is>
          <t>No</t>
        </is>
      </c>
      <c r="M27" s="4" t="inlineStr"/>
    </row>
    <row r="28">
      <c r="A28" s="4" t="inlineStr">
        <is>
          <t>COMP-021</t>
        </is>
      </c>
      <c r="B28" s="4" t="inlineStr">
        <is>
          <t>Roof replacement</t>
        </is>
      </c>
      <c r="C28" s="4" t="inlineStr">
        <is>
          <t>39-year nonresidential real property</t>
        </is>
      </c>
      <c r="D28" s="14" t="n">
        <v>43107</v>
      </c>
      <c r="E28" s="8" t="n">
        <v>102190.76</v>
      </c>
      <c r="F28" s="8" t="n">
        <v>4472.96</v>
      </c>
      <c r="G28" s="8" t="n">
        <v>0</v>
      </c>
      <c r="H28" s="8">
        <f>E28+F28-G28</f>
        <v/>
      </c>
      <c r="I28" s="6">
        <f>SUMIFS(Depreciation!$J$8:$J$137,Depreciation!$A$8:$A$137,$A28)</f>
        <v/>
      </c>
      <c r="J28" s="8">
        <f>H28-I28</f>
        <v/>
      </c>
      <c r="K28" s="4" t="inlineStr">
        <is>
          <t>No</t>
        </is>
      </c>
      <c r="L28" s="4" t="inlineStr">
        <is>
          <t>Yes</t>
        </is>
      </c>
      <c r="M28" s="4" t="inlineStr"/>
    </row>
    <row r="29">
      <c r="A29" s="4" t="inlineStr">
        <is>
          <t>COMP-022</t>
        </is>
      </c>
      <c r="B29" s="4" t="inlineStr">
        <is>
          <t>HVAC unit</t>
        </is>
      </c>
      <c r="C29" s="4" t="inlineStr">
        <is>
          <t>15-year land improvement</t>
        </is>
      </c>
      <c r="D29" s="14" t="n">
        <v>43569</v>
      </c>
      <c r="E29" s="8" t="n">
        <v>112817.38</v>
      </c>
      <c r="F29" s="8" t="n">
        <v>5032.08</v>
      </c>
      <c r="G29" s="8" t="n">
        <v>0</v>
      </c>
      <c r="H29" s="8">
        <f>E29+F29-G29</f>
        <v/>
      </c>
      <c r="I29" s="6">
        <f>SUMIFS(Depreciation!$J$8:$J$137,Depreciation!$A$8:$A$137,$A29)</f>
        <v/>
      </c>
      <c r="J29" s="8">
        <f>H29-I29</f>
        <v/>
      </c>
      <c r="K29" s="4" t="inlineStr">
        <is>
          <t>No</t>
        </is>
      </c>
      <c r="L29" s="4" t="inlineStr">
        <is>
          <t>No</t>
        </is>
      </c>
      <c r="M29" s="4" t="inlineStr"/>
    </row>
    <row r="30">
      <c r="A30" s="4" t="inlineStr">
        <is>
          <t>COMP-023</t>
        </is>
      </c>
      <c r="B30" s="4" t="inlineStr">
        <is>
          <t>Electrical upgrade</t>
        </is>
      </c>
      <c r="C30" s="4" t="inlineStr">
        <is>
          <t>7-year property</t>
        </is>
      </c>
      <c r="D30" s="14" t="n">
        <v>44033</v>
      </c>
      <c r="E30" s="8" t="n">
        <v>123443.99</v>
      </c>
      <c r="F30" s="8" t="n">
        <v>5591.2</v>
      </c>
      <c r="G30" s="8" t="n">
        <v>0</v>
      </c>
      <c r="H30" s="8">
        <f>E30+F30-G30</f>
        <v/>
      </c>
      <c r="I30" s="6">
        <f>SUMIFS(Depreciation!$J$8:$J$137,Depreciation!$A$8:$A$137,$A30)</f>
        <v/>
      </c>
      <c r="J30" s="8">
        <f>H30-I30</f>
        <v/>
      </c>
      <c r="K30" s="4" t="inlineStr">
        <is>
          <t>Yes</t>
        </is>
      </c>
      <c r="L30" s="4" t="inlineStr">
        <is>
          <t>No</t>
        </is>
      </c>
      <c r="M30" s="4" t="inlineStr"/>
    </row>
    <row r="31">
      <c r="A31" s="4" t="inlineStr">
        <is>
          <t>COMP-024</t>
        </is>
      </c>
      <c r="B31" s="4" t="inlineStr">
        <is>
          <t>Tenant improvement</t>
        </is>
      </c>
      <c r="C31" s="4" t="inlineStr">
        <is>
          <t>5-year property</t>
        </is>
      </c>
      <c r="D31" s="14" t="n">
        <v>44472</v>
      </c>
      <c r="E31" s="8" t="n">
        <v>20574.24</v>
      </c>
      <c r="F31" s="8" t="n">
        <v>6150.32</v>
      </c>
      <c r="G31" s="8" t="n">
        <v>0</v>
      </c>
      <c r="H31" s="8">
        <f>E31+F31-G31</f>
        <v/>
      </c>
      <c r="I31" s="6">
        <f>SUMIFS(Depreciation!$J$8:$J$137,Depreciation!$A$8:$A$137,$A31)</f>
        <v/>
      </c>
      <c r="J31" s="8">
        <f>H31-I31</f>
        <v/>
      </c>
      <c r="K31" s="4" t="inlineStr">
        <is>
          <t>Yes</t>
        </is>
      </c>
      <c r="L31" s="4" t="inlineStr">
        <is>
          <t>No</t>
        </is>
      </c>
      <c r="M31" s="4" t="inlineStr"/>
    </row>
    <row r="32">
      <c r="A32" s="4" t="inlineStr">
        <is>
          <t>COMP-025</t>
        </is>
      </c>
      <c r="B32" s="4" t="inlineStr">
        <is>
          <t>Paving section</t>
        </is>
      </c>
      <c r="C32" s="4" t="inlineStr">
        <is>
          <t>39-year nonresidential real property</t>
        </is>
      </c>
      <c r="D32" s="14" t="n">
        <v>44571</v>
      </c>
      <c r="E32" s="8" t="n">
        <v>31200.85</v>
      </c>
      <c r="F32" s="8" t="n">
        <v>6709.44</v>
      </c>
      <c r="G32" s="8" t="n">
        <v>0</v>
      </c>
      <c r="H32" s="8">
        <f>E32+F32-G32</f>
        <v/>
      </c>
      <c r="I32" s="6">
        <f>SUMIFS(Depreciation!$J$8:$J$137,Depreciation!$A$8:$A$137,$A32)</f>
        <v/>
      </c>
      <c r="J32" s="8">
        <f>H32-I32</f>
        <v/>
      </c>
      <c r="K32" s="4" t="inlineStr">
        <is>
          <t>No</t>
        </is>
      </c>
      <c r="L32" s="4" t="inlineStr">
        <is>
          <t>Yes</t>
        </is>
      </c>
      <c r="M32" s="4" t="inlineStr"/>
    </row>
    <row r="33">
      <c r="A33" s="4" t="inlineStr">
        <is>
          <t>COMP-026</t>
        </is>
      </c>
      <c r="B33" s="4" t="inlineStr">
        <is>
          <t>Plumbing replacement</t>
        </is>
      </c>
      <c r="C33" s="4" t="inlineStr">
        <is>
          <t>15-year land improvement</t>
        </is>
      </c>
      <c r="D33" s="14" t="n">
        <v>45033</v>
      </c>
      <c r="E33" s="8" t="n">
        <v>41827.47</v>
      </c>
      <c r="F33" s="8" t="n">
        <v>7268.56</v>
      </c>
      <c r="G33" s="8" t="n">
        <v>0</v>
      </c>
      <c r="H33" s="8">
        <f>E33+F33-G33</f>
        <v/>
      </c>
      <c r="I33" s="6">
        <f>SUMIFS(Depreciation!$J$8:$J$137,Depreciation!$A$8:$A$137,$A33)</f>
        <v/>
      </c>
      <c r="J33" s="8">
        <f>H33-I33</f>
        <v/>
      </c>
      <c r="K33" s="4" t="inlineStr">
        <is>
          <t>No</t>
        </is>
      </c>
      <c r="L33" s="4" t="inlineStr">
        <is>
          <t>No</t>
        </is>
      </c>
      <c r="M33" s="4" t="inlineStr"/>
    </row>
    <row r="34">
      <c r="A34" s="4" t="inlineStr">
        <is>
          <t>COMP-027</t>
        </is>
      </c>
      <c r="B34" s="4" t="inlineStr">
        <is>
          <t>Store fixture</t>
        </is>
      </c>
      <c r="C34" s="4" t="inlineStr">
        <is>
          <t>7-year property</t>
        </is>
      </c>
      <c r="D34" s="14" t="n">
        <v>45497</v>
      </c>
      <c r="E34" s="8" t="n">
        <v>52454.09</v>
      </c>
      <c r="F34" s="8" t="n">
        <v>7827.68</v>
      </c>
      <c r="G34" s="8" t="n">
        <v>0</v>
      </c>
      <c r="H34" s="8">
        <f>E34+F34-G34</f>
        <v/>
      </c>
      <c r="I34" s="6">
        <f>SUMIFS(Depreciation!$J$8:$J$137,Depreciation!$A$8:$A$137,$A34)</f>
        <v/>
      </c>
      <c r="J34" s="8">
        <f>H34-I34</f>
        <v/>
      </c>
      <c r="K34" s="4" t="inlineStr">
        <is>
          <t>Yes</t>
        </is>
      </c>
      <c r="L34" s="4" t="inlineStr">
        <is>
          <t>No</t>
        </is>
      </c>
      <c r="M34" s="4" t="inlineStr"/>
    </row>
    <row r="35">
      <c r="A35" s="4" t="inlineStr">
        <is>
          <t>COMP-028</t>
        </is>
      </c>
      <c r="B35" s="4" t="inlineStr">
        <is>
          <t>Exterior signage</t>
        </is>
      </c>
      <c r="C35" s="4" t="inlineStr">
        <is>
          <t>5-year property</t>
        </is>
      </c>
      <c r="D35" s="14" t="n">
        <v>40457</v>
      </c>
      <c r="E35" s="8" t="n">
        <v>63080.7</v>
      </c>
      <c r="F35" s="8" t="n">
        <v>8386.799999999999</v>
      </c>
      <c r="G35" s="8" t="n">
        <v>0</v>
      </c>
      <c r="H35" s="8">
        <f>E35+F35-G35</f>
        <v/>
      </c>
      <c r="I35" s="6">
        <f>SUMIFS(Depreciation!$J$8:$J$137,Depreciation!$A$8:$A$137,$A35)</f>
        <v/>
      </c>
      <c r="J35" s="8">
        <f>H35-I35</f>
        <v/>
      </c>
      <c r="K35" s="4" t="inlineStr">
        <is>
          <t>Yes</t>
        </is>
      </c>
      <c r="L35" s="4" t="inlineStr">
        <is>
          <t>No</t>
        </is>
      </c>
      <c r="M35" s="4" t="inlineStr"/>
    </row>
    <row r="36">
      <c r="A36" s="4" t="inlineStr">
        <is>
          <t>COMP-029</t>
        </is>
      </c>
      <c r="B36" s="4" t="inlineStr">
        <is>
          <t>Roof replacement</t>
        </is>
      </c>
      <c r="C36" s="4" t="inlineStr">
        <is>
          <t>39-year nonresidential real property</t>
        </is>
      </c>
      <c r="D36" s="14" t="n">
        <v>40556</v>
      </c>
      <c r="E36" s="8" t="n">
        <v>73707.32000000001</v>
      </c>
      <c r="F36" s="8" t="n">
        <v>8945.92</v>
      </c>
      <c r="G36" s="8" t="n">
        <v>0</v>
      </c>
      <c r="H36" s="8">
        <f>E36+F36-G36</f>
        <v/>
      </c>
      <c r="I36" s="6">
        <f>SUMIFS(Depreciation!$J$8:$J$137,Depreciation!$A$8:$A$137,$A36)</f>
        <v/>
      </c>
      <c r="J36" s="8">
        <f>H36-I36</f>
        <v/>
      </c>
      <c r="K36" s="4" t="inlineStr">
        <is>
          <t>No</t>
        </is>
      </c>
      <c r="L36" s="4" t="inlineStr">
        <is>
          <t>Yes</t>
        </is>
      </c>
      <c r="M36" s="4" t="inlineStr"/>
    </row>
    <row r="37">
      <c r="A37" s="4" t="inlineStr">
        <is>
          <t>COMP-030</t>
        </is>
      </c>
      <c r="B37" s="4" t="inlineStr">
        <is>
          <t>HVAC unit</t>
        </is>
      </c>
      <c r="C37" s="4" t="inlineStr">
        <is>
          <t>15-year land improvement</t>
        </is>
      </c>
      <c r="D37" s="14" t="n">
        <v>41019</v>
      </c>
      <c r="E37" s="8" t="n">
        <v>84333.92999999999</v>
      </c>
      <c r="F37" s="8" t="n">
        <v>9505.040000000001</v>
      </c>
      <c r="G37" s="8" t="n">
        <v>0</v>
      </c>
      <c r="H37" s="8">
        <f>E37+F37-G37</f>
        <v/>
      </c>
      <c r="I37" s="6">
        <f>SUMIFS(Depreciation!$J$8:$J$137,Depreciation!$A$8:$A$137,$A37)</f>
        <v/>
      </c>
      <c r="J37" s="8">
        <f>H37-I37</f>
        <v/>
      </c>
      <c r="K37" s="4" t="inlineStr">
        <is>
          <t>No</t>
        </is>
      </c>
      <c r="L37" s="4" t="inlineStr">
        <is>
          <t>No</t>
        </is>
      </c>
      <c r="M37" s="4" t="inlineStr"/>
    </row>
    <row r="38">
      <c r="A38" s="4" t="inlineStr">
        <is>
          <t>COMP-031</t>
        </is>
      </c>
      <c r="B38" s="4" t="inlineStr">
        <is>
          <t>Electrical upgrade</t>
        </is>
      </c>
      <c r="C38" s="4" t="inlineStr">
        <is>
          <t>7-year property</t>
        </is>
      </c>
      <c r="D38" s="14" t="n">
        <v>41457</v>
      </c>
      <c r="E38" s="8" t="n">
        <v>94960.55</v>
      </c>
      <c r="F38" s="8" t="n">
        <v>10064.16</v>
      </c>
      <c r="G38" s="8" t="n">
        <v>0</v>
      </c>
      <c r="H38" s="8">
        <f>E38+F38-G38</f>
        <v/>
      </c>
      <c r="I38" s="6">
        <f>SUMIFS(Depreciation!$J$8:$J$137,Depreciation!$A$8:$A$137,$A38)</f>
        <v/>
      </c>
      <c r="J38" s="8">
        <f>H38-I38</f>
        <v/>
      </c>
      <c r="K38" s="4" t="inlineStr">
        <is>
          <t>Yes</t>
        </is>
      </c>
      <c r="L38" s="4" t="inlineStr">
        <is>
          <t>No</t>
        </is>
      </c>
      <c r="M38" s="4" t="inlineStr"/>
    </row>
    <row r="39">
      <c r="A39" s="4" t="inlineStr">
        <is>
          <t>COMP-032</t>
        </is>
      </c>
      <c r="B39" s="4" t="inlineStr">
        <is>
          <t>Tenant improvement</t>
        </is>
      </c>
      <c r="C39" s="4" t="inlineStr">
        <is>
          <t>5-year property</t>
        </is>
      </c>
      <c r="D39" s="14" t="n">
        <v>41921</v>
      </c>
      <c r="E39" s="8" t="n">
        <v>105587.17</v>
      </c>
      <c r="F39" s="8" t="n">
        <v>10623.28</v>
      </c>
      <c r="G39" s="8" t="n">
        <v>0</v>
      </c>
      <c r="H39" s="8">
        <f>E39+F39-G39</f>
        <v/>
      </c>
      <c r="I39" s="6">
        <f>SUMIFS(Depreciation!$J$8:$J$137,Depreciation!$A$8:$A$137,$A39)</f>
        <v/>
      </c>
      <c r="J39" s="8">
        <f>H39-I39</f>
        <v/>
      </c>
      <c r="K39" s="4" t="inlineStr">
        <is>
          <t>Yes</t>
        </is>
      </c>
      <c r="L39" s="4" t="inlineStr">
        <is>
          <t>No</t>
        </is>
      </c>
      <c r="M39" s="4" t="inlineStr"/>
    </row>
    <row r="40">
      <c r="A40" s="4" t="inlineStr">
        <is>
          <t>COMP-033</t>
        </is>
      </c>
      <c r="B40" s="4" t="inlineStr">
        <is>
          <t>Paving section</t>
        </is>
      </c>
      <c r="C40" s="4" t="inlineStr">
        <is>
          <t>39-year nonresidential real property</t>
        </is>
      </c>
      <c r="D40" s="14" t="n">
        <v>42020</v>
      </c>
      <c r="E40" s="8" t="n">
        <v>116213.78</v>
      </c>
      <c r="F40" s="8" t="n">
        <v>11182.4</v>
      </c>
      <c r="G40" s="8" t="n">
        <v>0</v>
      </c>
      <c r="H40" s="8">
        <f>E40+F40-G40</f>
        <v/>
      </c>
      <c r="I40" s="6">
        <f>SUMIFS(Depreciation!$J$8:$J$137,Depreciation!$A$8:$A$137,$A40)</f>
        <v/>
      </c>
      <c r="J40" s="8">
        <f>H40-I40</f>
        <v/>
      </c>
      <c r="K40" s="4" t="inlineStr">
        <is>
          <t>No</t>
        </is>
      </c>
      <c r="L40" s="4" t="inlineStr">
        <is>
          <t>Yes</t>
        </is>
      </c>
      <c r="M40" s="4" t="inlineStr"/>
    </row>
    <row r="41">
      <c r="A41" s="4" t="inlineStr">
        <is>
          <t>COMP-034</t>
        </is>
      </c>
      <c r="B41" s="4" t="inlineStr">
        <is>
          <t>Plumbing replacement</t>
        </is>
      </c>
      <c r="C41" s="4" t="inlineStr">
        <is>
          <t>15-year land improvement</t>
        </is>
      </c>
      <c r="D41" s="14" t="n">
        <v>42483</v>
      </c>
      <c r="E41" s="8" t="n">
        <v>126840.4</v>
      </c>
      <c r="F41" s="8" t="n">
        <v>545.25</v>
      </c>
      <c r="G41" s="8" t="n">
        <v>0</v>
      </c>
      <c r="H41" s="8">
        <f>E41+F41-G41</f>
        <v/>
      </c>
      <c r="I41" s="6">
        <f>SUMIFS(Depreciation!$J$8:$J$137,Depreciation!$A$8:$A$137,$A41)</f>
        <v/>
      </c>
      <c r="J41" s="8">
        <f>H41-I41</f>
        <v/>
      </c>
      <c r="K41" s="4" t="inlineStr">
        <is>
          <t>No</t>
        </is>
      </c>
      <c r="L41" s="4" t="inlineStr">
        <is>
          <t>No</t>
        </is>
      </c>
      <c r="M41" s="15" t="inlineStr">
        <is>
          <t>Pending — final vendor closeout package</t>
        </is>
      </c>
    </row>
    <row r="42">
      <c r="A42" s="4" t="inlineStr">
        <is>
          <t>COMP-035</t>
        </is>
      </c>
      <c r="B42" s="4" t="inlineStr">
        <is>
          <t>Store fixture</t>
        </is>
      </c>
      <c r="C42" s="4" t="inlineStr">
        <is>
          <t>7-year property</t>
        </is>
      </c>
      <c r="D42" s="14" t="n">
        <v>42921</v>
      </c>
      <c r="E42" s="8" t="n">
        <v>23970.64</v>
      </c>
      <c r="F42" s="8" t="n">
        <v>1104.37</v>
      </c>
      <c r="G42" s="8" t="n">
        <v>0</v>
      </c>
      <c r="H42" s="8">
        <f>E42+F42-G42</f>
        <v/>
      </c>
      <c r="I42" s="6">
        <f>SUMIFS(Depreciation!$J$8:$J$137,Depreciation!$A$8:$A$137,$A42)</f>
        <v/>
      </c>
      <c r="J42" s="8">
        <f>H42-I42</f>
        <v/>
      </c>
      <c r="K42" s="4" t="inlineStr">
        <is>
          <t>Yes</t>
        </is>
      </c>
      <c r="L42" s="4" t="inlineStr">
        <is>
          <t>No</t>
        </is>
      </c>
      <c r="M42" s="4" t="inlineStr"/>
    </row>
    <row r="43">
      <c r="A43" s="4" t="inlineStr">
        <is>
          <t>COMP-036</t>
        </is>
      </c>
      <c r="B43" s="4" t="inlineStr">
        <is>
          <t>Exterior signage</t>
        </is>
      </c>
      <c r="C43" s="4" t="inlineStr">
        <is>
          <t>5-year property</t>
        </is>
      </c>
      <c r="D43" s="14" t="n">
        <v>43385</v>
      </c>
      <c r="E43" s="8" t="n">
        <v>34597.26</v>
      </c>
      <c r="F43" s="8" t="n">
        <v>1663.49</v>
      </c>
      <c r="G43" s="8" t="n">
        <v>0</v>
      </c>
      <c r="H43" s="8">
        <f>E43+F43-G43</f>
        <v/>
      </c>
      <c r="I43" s="6">
        <f>SUMIFS(Depreciation!$J$8:$J$137,Depreciation!$A$8:$A$137,$A43)</f>
        <v/>
      </c>
      <c r="J43" s="8">
        <f>H43-I43</f>
        <v/>
      </c>
      <c r="K43" s="4" t="inlineStr">
        <is>
          <t>Yes</t>
        </is>
      </c>
      <c r="L43" s="4" t="inlineStr">
        <is>
          <t>No</t>
        </is>
      </c>
      <c r="M43" s="4" t="inlineStr"/>
    </row>
    <row r="44">
      <c r="A44" s="4" t="inlineStr">
        <is>
          <t>COMP-037</t>
        </is>
      </c>
      <c r="B44" s="4" t="inlineStr">
        <is>
          <t>Roof replacement</t>
        </is>
      </c>
      <c r="C44" s="4" t="inlineStr">
        <is>
          <t>39-year nonresidential real property</t>
        </is>
      </c>
      <c r="D44" s="14" t="n">
        <v>43484</v>
      </c>
      <c r="E44" s="8" t="n">
        <v>45223.88</v>
      </c>
      <c r="F44" s="8" t="n">
        <v>2222.61</v>
      </c>
      <c r="G44" s="8" t="n">
        <v>0</v>
      </c>
      <c r="H44" s="8">
        <f>E44+F44-G44</f>
        <v/>
      </c>
      <c r="I44" s="6">
        <f>SUMIFS(Depreciation!$J$8:$J$137,Depreciation!$A$8:$A$137,$A44)</f>
        <v/>
      </c>
      <c r="J44" s="8">
        <f>H44-I44</f>
        <v/>
      </c>
      <c r="K44" s="4" t="inlineStr">
        <is>
          <t>No</t>
        </is>
      </c>
      <c r="L44" s="4" t="inlineStr">
        <is>
          <t>Yes</t>
        </is>
      </c>
      <c r="M44" s="4" t="inlineStr"/>
    </row>
    <row r="45">
      <c r="A45" s="4" t="inlineStr">
        <is>
          <t>COMP-038</t>
        </is>
      </c>
      <c r="B45" s="4" t="inlineStr">
        <is>
          <t>HVAC unit</t>
        </is>
      </c>
      <c r="C45" s="4" t="inlineStr">
        <is>
          <t>15-year land improvement</t>
        </is>
      </c>
      <c r="D45" s="14" t="n">
        <v>43922</v>
      </c>
      <c r="E45" s="8" t="n">
        <v>55850.49</v>
      </c>
      <c r="F45" s="8" t="n">
        <v>2781.73</v>
      </c>
      <c r="G45" s="8" t="n">
        <v>0</v>
      </c>
      <c r="H45" s="8">
        <f>E45+F45-G45</f>
        <v/>
      </c>
      <c r="I45" s="6">
        <f>SUMIFS(Depreciation!$J$8:$J$137,Depreciation!$A$8:$A$137,$A45)</f>
        <v/>
      </c>
      <c r="J45" s="8">
        <f>H45-I45</f>
        <v/>
      </c>
      <c r="K45" s="4" t="inlineStr">
        <is>
          <t>No</t>
        </is>
      </c>
      <c r="L45" s="4" t="inlineStr">
        <is>
          <t>No</t>
        </is>
      </c>
      <c r="M45" s="4" t="inlineStr"/>
    </row>
    <row r="46">
      <c r="A46" s="4" t="inlineStr">
        <is>
          <t>COMP-039</t>
        </is>
      </c>
      <c r="B46" s="4" t="inlineStr">
        <is>
          <t>Electrical upgrade</t>
        </is>
      </c>
      <c r="C46" s="4" t="inlineStr">
        <is>
          <t>7-year property</t>
        </is>
      </c>
      <c r="D46" s="14" t="n">
        <v>44385</v>
      </c>
      <c r="E46" s="8" t="n">
        <v>66477.11</v>
      </c>
      <c r="F46" s="8" t="n">
        <v>3340.85</v>
      </c>
      <c r="G46" s="8" t="n">
        <v>0</v>
      </c>
      <c r="H46" s="8">
        <f>E46+F46-G46</f>
        <v/>
      </c>
      <c r="I46" s="6">
        <f>SUMIFS(Depreciation!$J$8:$J$137,Depreciation!$A$8:$A$137,$A46)</f>
        <v/>
      </c>
      <c r="J46" s="8">
        <f>H46-I46</f>
        <v/>
      </c>
      <c r="K46" s="4" t="inlineStr">
        <is>
          <t>Yes</t>
        </is>
      </c>
      <c r="L46" s="4" t="inlineStr">
        <is>
          <t>No</t>
        </is>
      </c>
      <c r="M46" s="4" t="inlineStr"/>
    </row>
    <row r="47">
      <c r="A47" s="4" t="inlineStr">
        <is>
          <t>COMP-040</t>
        </is>
      </c>
      <c r="B47" s="4" t="inlineStr">
        <is>
          <t>Tenant improvement</t>
        </is>
      </c>
      <c r="C47" s="4" t="inlineStr">
        <is>
          <t>5-year property</t>
        </is>
      </c>
      <c r="D47" s="14" t="n">
        <v>44849</v>
      </c>
      <c r="E47" s="8" t="n">
        <v>77103.73</v>
      </c>
      <c r="F47" s="8" t="n">
        <v>3899.97</v>
      </c>
      <c r="G47" s="8" t="n">
        <v>0</v>
      </c>
      <c r="H47" s="8">
        <f>E47+F47-G47</f>
        <v/>
      </c>
      <c r="I47" s="6">
        <f>SUMIFS(Depreciation!$J$8:$J$137,Depreciation!$A$8:$A$137,$A47)</f>
        <v/>
      </c>
      <c r="J47" s="8">
        <f>H47-I47</f>
        <v/>
      </c>
      <c r="K47" s="4" t="inlineStr">
        <is>
          <t>Yes</t>
        </is>
      </c>
      <c r="L47" s="4" t="inlineStr">
        <is>
          <t>No</t>
        </is>
      </c>
      <c r="M47" s="4" t="inlineStr"/>
    </row>
    <row r="48">
      <c r="A48" s="4" t="inlineStr">
        <is>
          <t>COMP-041</t>
        </is>
      </c>
      <c r="B48" s="4" t="inlineStr">
        <is>
          <t>Paving section</t>
        </is>
      </c>
      <c r="C48" s="4" t="inlineStr">
        <is>
          <t>39-year nonresidential real property</t>
        </is>
      </c>
      <c r="D48" s="14" t="n">
        <v>44948</v>
      </c>
      <c r="E48" s="8" t="n">
        <v>87730.34</v>
      </c>
      <c r="F48" s="8" t="n">
        <v>4459.09</v>
      </c>
      <c r="G48" s="8" t="n">
        <v>0</v>
      </c>
      <c r="H48" s="8">
        <f>E48+F48-G48</f>
        <v/>
      </c>
      <c r="I48" s="6">
        <f>SUMIFS(Depreciation!$J$8:$J$137,Depreciation!$A$8:$A$137,$A48)</f>
        <v/>
      </c>
      <c r="J48" s="8">
        <f>H48-I48</f>
        <v/>
      </c>
      <c r="K48" s="4" t="inlineStr">
        <is>
          <t>No</t>
        </is>
      </c>
      <c r="L48" s="4" t="inlineStr">
        <is>
          <t>Yes</t>
        </is>
      </c>
      <c r="M48" s="4" t="inlineStr">
        <is>
          <t>Pending vendor closeout package</t>
        </is>
      </c>
    </row>
    <row r="49">
      <c r="A49" s="4" t="inlineStr">
        <is>
          <t>COMP-042</t>
        </is>
      </c>
      <c r="B49" s="4" t="inlineStr">
        <is>
          <t>Plumbing replacement</t>
        </is>
      </c>
      <c r="C49" s="4" t="inlineStr">
        <is>
          <t>15-year land improvement</t>
        </is>
      </c>
      <c r="D49" s="14" t="n">
        <v>45386</v>
      </c>
      <c r="E49" s="8" t="n">
        <v>98356.96000000001</v>
      </c>
      <c r="F49" s="8" t="n">
        <v>5018.21</v>
      </c>
      <c r="G49" s="8" t="n">
        <v>1226.07</v>
      </c>
      <c r="H49" s="8">
        <f>E49+F49-G49</f>
        <v/>
      </c>
      <c r="I49" s="6">
        <f>SUMIFS(Depreciation!$J$8:$J$137,Depreciation!$A$8:$A$137,$A49)</f>
        <v/>
      </c>
      <c r="J49" s="8">
        <f>H49-I49</f>
        <v/>
      </c>
      <c r="K49" s="4" t="inlineStr">
        <is>
          <t>No</t>
        </is>
      </c>
      <c r="L49" s="4" t="inlineStr">
        <is>
          <t>No</t>
        </is>
      </c>
      <c r="M49" s="4" t="inlineStr"/>
    </row>
    <row r="50">
      <c r="A50" s="4" t="inlineStr">
        <is>
          <t>COMP-043</t>
        </is>
      </c>
      <c r="B50" s="4" t="inlineStr">
        <is>
          <t>Store fixture</t>
        </is>
      </c>
      <c r="C50" s="4" t="inlineStr">
        <is>
          <t>7-year property</t>
        </is>
      </c>
      <c r="D50" s="14" t="n">
        <v>40370</v>
      </c>
      <c r="E50" s="8" t="n">
        <v>108983.57</v>
      </c>
      <c r="F50" s="8" t="n">
        <v>5577.33</v>
      </c>
      <c r="G50" s="8" t="n">
        <v>0</v>
      </c>
      <c r="H50" s="8">
        <f>E50+F50-G50</f>
        <v/>
      </c>
      <c r="I50" s="6">
        <f>SUMIFS(Depreciation!$J$8:$J$137,Depreciation!$A$8:$A$137,$A50)</f>
        <v/>
      </c>
      <c r="J50" s="8">
        <f>H50-I50</f>
        <v/>
      </c>
      <c r="K50" s="4" t="inlineStr">
        <is>
          <t>Yes</t>
        </is>
      </c>
      <c r="L50" s="4" t="inlineStr">
        <is>
          <t>No</t>
        </is>
      </c>
      <c r="M50" s="4" t="inlineStr"/>
    </row>
    <row r="51">
      <c r="A51" s="4" t="inlineStr">
        <is>
          <t>COMP-044</t>
        </is>
      </c>
      <c r="B51" s="4" t="inlineStr">
        <is>
          <t>Exterior signage</t>
        </is>
      </c>
      <c r="C51" s="4" t="inlineStr">
        <is>
          <t>5-year property</t>
        </is>
      </c>
      <c r="D51" s="14" t="n">
        <v>40834</v>
      </c>
      <c r="E51" s="8" t="n">
        <v>119610.19</v>
      </c>
      <c r="F51" s="8" t="n">
        <v>6136.45</v>
      </c>
      <c r="G51" s="8" t="n">
        <v>0</v>
      </c>
      <c r="H51" s="8">
        <f>E51+F51-G51</f>
        <v/>
      </c>
      <c r="I51" s="6">
        <f>SUMIFS(Depreciation!$J$8:$J$137,Depreciation!$A$8:$A$137,$A51)</f>
        <v/>
      </c>
      <c r="J51" s="8">
        <f>H51-I51</f>
        <v/>
      </c>
      <c r="K51" s="4" t="inlineStr">
        <is>
          <t>Yes</t>
        </is>
      </c>
      <c r="L51" s="4" t="inlineStr">
        <is>
          <t>No</t>
        </is>
      </c>
      <c r="M51" s="4" t="inlineStr"/>
    </row>
    <row r="52">
      <c r="A52" s="4" t="inlineStr">
        <is>
          <t>COMP-045</t>
        </is>
      </c>
      <c r="B52" s="4" t="inlineStr">
        <is>
          <t>Roof replacement</t>
        </is>
      </c>
      <c r="C52" s="4" t="inlineStr">
        <is>
          <t>39-year nonresidential real property</t>
        </is>
      </c>
      <c r="D52" s="14" t="n">
        <v>40933</v>
      </c>
      <c r="E52" s="8" t="n">
        <v>130236.81</v>
      </c>
      <c r="F52" s="8" t="n">
        <v>6695.57</v>
      </c>
      <c r="G52" s="8" t="n">
        <v>0</v>
      </c>
      <c r="H52" s="8">
        <f>E52+F52-G52</f>
        <v/>
      </c>
      <c r="I52" s="6">
        <f>SUMIFS(Depreciation!$J$8:$J$137,Depreciation!$A$8:$A$137,$A52)</f>
        <v/>
      </c>
      <c r="J52" s="8">
        <f>H52-I52</f>
        <v/>
      </c>
      <c r="K52" s="4" t="inlineStr">
        <is>
          <t>No</t>
        </is>
      </c>
      <c r="L52" s="4" t="inlineStr">
        <is>
          <t>Yes</t>
        </is>
      </c>
      <c r="M52" s="4" t="inlineStr"/>
    </row>
    <row r="53">
      <c r="A53" s="4" t="inlineStr">
        <is>
          <t>COMP-046</t>
        </is>
      </c>
      <c r="B53" s="4" t="inlineStr">
        <is>
          <t>HVAC unit</t>
        </is>
      </c>
      <c r="C53" s="4" t="inlineStr">
        <is>
          <t>15-year land improvement</t>
        </is>
      </c>
      <c r="D53" s="14" t="n">
        <v>41371</v>
      </c>
      <c r="E53" s="8" t="n">
        <v>27367.05</v>
      </c>
      <c r="F53" s="8" t="n">
        <v>7254.69</v>
      </c>
      <c r="G53" s="8" t="n">
        <v>0</v>
      </c>
      <c r="H53" s="8">
        <f>E53+F53-G53</f>
        <v/>
      </c>
      <c r="I53" s="6">
        <f>SUMIFS(Depreciation!$J$8:$J$137,Depreciation!$A$8:$A$137,$A53)</f>
        <v/>
      </c>
      <c r="J53" s="8">
        <f>H53-I53</f>
        <v/>
      </c>
      <c r="K53" s="4" t="inlineStr">
        <is>
          <t>No</t>
        </is>
      </c>
      <c r="L53" s="4" t="inlineStr">
        <is>
          <t>No</t>
        </is>
      </c>
      <c r="M53" s="4" t="inlineStr"/>
    </row>
    <row r="54">
      <c r="A54" s="4" t="inlineStr">
        <is>
          <t>COMP-047</t>
        </is>
      </c>
      <c r="B54" s="4" t="inlineStr">
        <is>
          <t>Electrical upgrade</t>
        </is>
      </c>
      <c r="C54" s="4" t="inlineStr">
        <is>
          <t>7-year property</t>
        </is>
      </c>
      <c r="D54" s="14" t="n">
        <v>41834</v>
      </c>
      <c r="E54" s="8" t="n">
        <v>37993.67</v>
      </c>
      <c r="F54" s="8" t="n">
        <v>7813.81</v>
      </c>
      <c r="G54" s="8" t="n">
        <v>0</v>
      </c>
      <c r="H54" s="8">
        <f>E54+F54-G54</f>
        <v/>
      </c>
      <c r="I54" s="6">
        <f>SUMIFS(Depreciation!$J$8:$J$137,Depreciation!$A$8:$A$137,$A54)</f>
        <v/>
      </c>
      <c r="J54" s="8">
        <f>H54-I54</f>
        <v/>
      </c>
      <c r="K54" s="4" t="inlineStr">
        <is>
          <t>Yes</t>
        </is>
      </c>
      <c r="L54" s="4" t="inlineStr">
        <is>
          <t>No</t>
        </is>
      </c>
      <c r="M54" s="4" t="inlineStr"/>
    </row>
    <row r="55">
      <c r="A55" s="4" t="inlineStr">
        <is>
          <t>COMP-048</t>
        </is>
      </c>
      <c r="B55" s="4" t="inlineStr">
        <is>
          <t>Tenant improvement</t>
        </is>
      </c>
      <c r="C55" s="4" t="inlineStr">
        <is>
          <t>5-year property</t>
        </is>
      </c>
      <c r="D55" s="14" t="n">
        <v>42298</v>
      </c>
      <c r="E55" s="8" t="n">
        <v>48620.28</v>
      </c>
      <c r="F55" s="8" t="n">
        <v>8372.93</v>
      </c>
      <c r="G55" s="8" t="n">
        <v>0</v>
      </c>
      <c r="H55" s="8">
        <f>E55+F55-G55</f>
        <v/>
      </c>
      <c r="I55" s="6">
        <f>SUMIFS(Depreciation!$J$8:$J$137,Depreciation!$A$8:$A$137,$A55)</f>
        <v/>
      </c>
      <c r="J55" s="8">
        <f>H55-I55</f>
        <v/>
      </c>
      <c r="K55" s="4" t="inlineStr">
        <is>
          <t>Yes</t>
        </is>
      </c>
      <c r="L55" s="4" t="inlineStr">
        <is>
          <t>No</t>
        </is>
      </c>
      <c r="M55" s="4" t="inlineStr"/>
    </row>
    <row r="56">
      <c r="A56" s="4" t="inlineStr">
        <is>
          <t>COMP-049</t>
        </is>
      </c>
      <c r="B56" s="4" t="inlineStr">
        <is>
          <t>Paving section</t>
        </is>
      </c>
      <c r="C56" s="4" t="inlineStr">
        <is>
          <t>39-year nonresidential real property</t>
        </is>
      </c>
      <c r="D56" s="14" t="n">
        <v>42372</v>
      </c>
      <c r="E56" s="8" t="n">
        <v>59246.9</v>
      </c>
      <c r="F56" s="8" t="n">
        <v>8932.049999999999</v>
      </c>
      <c r="G56" s="8" t="n">
        <v>0</v>
      </c>
      <c r="H56" s="8">
        <f>E56+F56-G56</f>
        <v/>
      </c>
      <c r="I56" s="6">
        <f>SUMIFS(Depreciation!$J$8:$J$137,Depreciation!$A$8:$A$137,$A56)</f>
        <v/>
      </c>
      <c r="J56" s="8">
        <f>H56-I56</f>
        <v/>
      </c>
      <c r="K56" s="4" t="inlineStr">
        <is>
          <t>No</t>
        </is>
      </c>
      <c r="L56" s="4" t="inlineStr">
        <is>
          <t>Yes</t>
        </is>
      </c>
      <c r="M56" s="4" t="inlineStr"/>
    </row>
    <row r="57">
      <c r="A57" s="4" t="inlineStr">
        <is>
          <t>COMP-050</t>
        </is>
      </c>
      <c r="B57" s="4" t="inlineStr">
        <is>
          <t>Plumbing replacement</t>
        </is>
      </c>
      <c r="C57" s="4" t="inlineStr">
        <is>
          <t>15-year land improvement</t>
        </is>
      </c>
      <c r="D57" s="14" t="n">
        <v>42835</v>
      </c>
      <c r="E57" s="8" t="n">
        <v>69873.52</v>
      </c>
      <c r="F57" s="8" t="n">
        <v>9491.17</v>
      </c>
      <c r="G57" s="8" t="n">
        <v>0</v>
      </c>
      <c r="H57" s="8">
        <f>E57+F57-G57</f>
        <v/>
      </c>
      <c r="I57" s="6">
        <f>SUMIFS(Depreciation!$J$8:$J$137,Depreciation!$A$8:$A$137,$A57)</f>
        <v/>
      </c>
      <c r="J57" s="8">
        <f>H57-I57</f>
        <v/>
      </c>
      <c r="K57" s="4" t="inlineStr">
        <is>
          <t>No</t>
        </is>
      </c>
      <c r="L57" s="4" t="inlineStr">
        <is>
          <t>No</t>
        </is>
      </c>
      <c r="M57" s="4" t="inlineStr"/>
    </row>
    <row r="58">
      <c r="A58" s="4" t="inlineStr">
        <is>
          <t>COMP-051</t>
        </is>
      </c>
      <c r="B58" s="4" t="inlineStr">
        <is>
          <t>Store fixture</t>
        </is>
      </c>
      <c r="C58" s="4" t="inlineStr">
        <is>
          <t>7-year property</t>
        </is>
      </c>
      <c r="D58" s="14" t="n">
        <v>43298</v>
      </c>
      <c r="E58" s="8" t="n">
        <v>80500.13</v>
      </c>
      <c r="F58" s="8" t="n">
        <v>10050.29</v>
      </c>
      <c r="G58" s="8" t="n">
        <v>0</v>
      </c>
      <c r="H58" s="8">
        <f>E58+F58-G58</f>
        <v/>
      </c>
      <c r="I58" s="6">
        <f>SUMIFS(Depreciation!$J$8:$J$137,Depreciation!$A$8:$A$137,$A58)</f>
        <v/>
      </c>
      <c r="J58" s="8">
        <f>H58-I58</f>
        <v/>
      </c>
      <c r="K58" s="4" t="inlineStr">
        <is>
          <t>Yes</t>
        </is>
      </c>
      <c r="L58" s="4" t="inlineStr">
        <is>
          <t>No</t>
        </is>
      </c>
      <c r="M58" s="4" t="inlineStr"/>
    </row>
    <row r="59">
      <c r="A59" s="4" t="inlineStr">
        <is>
          <t>COMP-052</t>
        </is>
      </c>
      <c r="B59" s="4" t="inlineStr">
        <is>
          <t>Exterior signage</t>
        </is>
      </c>
      <c r="C59" s="4" t="inlineStr">
        <is>
          <t>5-year property</t>
        </is>
      </c>
      <c r="D59" s="14" t="n">
        <v>43762</v>
      </c>
      <c r="E59" s="8" t="n">
        <v>91126.75</v>
      </c>
      <c r="F59" s="8" t="n">
        <v>10609.41</v>
      </c>
      <c r="G59" s="8" t="n">
        <v>0</v>
      </c>
      <c r="H59" s="8">
        <f>E59+F59-G59</f>
        <v/>
      </c>
      <c r="I59" s="6">
        <f>SUMIFS(Depreciation!$J$8:$J$137,Depreciation!$A$8:$A$137,$A59)</f>
        <v/>
      </c>
      <c r="J59" s="8">
        <f>H59-I59</f>
        <v/>
      </c>
      <c r="K59" s="4" t="inlineStr">
        <is>
          <t>Yes</t>
        </is>
      </c>
      <c r="L59" s="4" t="inlineStr">
        <is>
          <t>No</t>
        </is>
      </c>
      <c r="M59" s="4" t="inlineStr"/>
    </row>
    <row r="60">
      <c r="A60" s="4" t="inlineStr">
        <is>
          <t>COMP-053</t>
        </is>
      </c>
      <c r="B60" s="4" t="inlineStr">
        <is>
          <t>Roof replacement</t>
        </is>
      </c>
      <c r="C60" s="4" t="inlineStr">
        <is>
          <t>39-year nonresidential real property</t>
        </is>
      </c>
      <c r="D60" s="14" t="n">
        <v>43836</v>
      </c>
      <c r="E60" s="8" t="n">
        <v>101753.36</v>
      </c>
      <c r="F60" s="8" t="n">
        <v>11168.53</v>
      </c>
      <c r="G60" s="8" t="n">
        <v>0</v>
      </c>
      <c r="H60" s="8">
        <f>E60+F60-G60</f>
        <v/>
      </c>
      <c r="I60" s="6">
        <f>SUMIFS(Depreciation!$J$8:$J$137,Depreciation!$A$8:$A$137,$A60)</f>
        <v/>
      </c>
      <c r="J60" s="8">
        <f>H60-I60</f>
        <v/>
      </c>
      <c r="K60" s="4" t="inlineStr">
        <is>
          <t>No</t>
        </is>
      </c>
      <c r="L60" s="4" t="inlineStr">
        <is>
          <t>Yes</t>
        </is>
      </c>
      <c r="M60" s="4" t="inlineStr"/>
    </row>
    <row r="61">
      <c r="A61" s="4" t="inlineStr">
        <is>
          <t>COMP-054</t>
        </is>
      </c>
      <c r="B61" s="4" t="inlineStr">
        <is>
          <t>HVAC unit</t>
        </is>
      </c>
      <c r="C61" s="4" t="inlineStr">
        <is>
          <t>15-year land improvement</t>
        </is>
      </c>
      <c r="D61" s="14" t="n">
        <v>44299</v>
      </c>
      <c r="E61" s="8" t="n">
        <v>112379.98</v>
      </c>
      <c r="F61" s="8" t="n">
        <v>531.39</v>
      </c>
      <c r="G61" s="8" t="n">
        <v>0</v>
      </c>
      <c r="H61" s="8">
        <f>E61+F61-G61</f>
        <v/>
      </c>
      <c r="I61" s="6">
        <f>SUMIFS(Depreciation!$J$8:$J$137,Depreciation!$A$8:$A$137,$A61)</f>
        <v/>
      </c>
      <c r="J61" s="8">
        <f>H61-I61</f>
        <v/>
      </c>
      <c r="K61" s="4" t="inlineStr">
        <is>
          <t>No</t>
        </is>
      </c>
      <c r="L61" s="4" t="inlineStr">
        <is>
          <t>No</t>
        </is>
      </c>
      <c r="M61" s="4" t="inlineStr"/>
    </row>
    <row r="62">
      <c r="A62" s="4" t="inlineStr">
        <is>
          <t>COMP-055</t>
        </is>
      </c>
      <c r="B62" s="4" t="inlineStr">
        <is>
          <t>Electrical upgrade</t>
        </is>
      </c>
      <c r="C62" s="4" t="inlineStr">
        <is>
          <t>7-year property</t>
        </is>
      </c>
      <c r="D62" s="14" t="n">
        <v>44762</v>
      </c>
      <c r="E62" s="8" t="n">
        <v>123006.6</v>
      </c>
      <c r="F62" s="8" t="n">
        <v>1090.51</v>
      </c>
      <c r="G62" s="8" t="n">
        <v>0</v>
      </c>
      <c r="H62" s="8">
        <f>E62+F62-G62</f>
        <v/>
      </c>
      <c r="I62" s="6">
        <f>SUMIFS(Depreciation!$J$8:$J$137,Depreciation!$A$8:$A$137,$A62)</f>
        <v/>
      </c>
      <c r="J62" s="8">
        <f>H62-I62</f>
        <v/>
      </c>
      <c r="K62" s="4" t="inlineStr">
        <is>
          <t>Yes</t>
        </is>
      </c>
      <c r="L62" s="4" t="inlineStr">
        <is>
          <t>No</t>
        </is>
      </c>
      <c r="M62" s="4" t="inlineStr"/>
    </row>
    <row r="63">
      <c r="A63" s="4" t="inlineStr">
        <is>
          <t>COMP-056</t>
        </is>
      </c>
      <c r="B63" s="4" t="inlineStr">
        <is>
          <t>Tenant improvement</t>
        </is>
      </c>
      <c r="C63" s="4" t="inlineStr">
        <is>
          <t>5-year property</t>
        </is>
      </c>
      <c r="D63" s="14" t="n">
        <v>45201</v>
      </c>
      <c r="E63" s="8" t="n">
        <v>20136.84</v>
      </c>
      <c r="F63" s="8" t="n">
        <v>1649.63</v>
      </c>
      <c r="G63" s="8" t="n">
        <v>0</v>
      </c>
      <c r="H63" s="8">
        <f>E63+F63-G63</f>
        <v/>
      </c>
      <c r="I63" s="6">
        <f>SUMIFS(Depreciation!$J$8:$J$137,Depreciation!$A$8:$A$137,$A63)</f>
        <v/>
      </c>
      <c r="J63" s="8">
        <f>H63-I63</f>
        <v/>
      </c>
      <c r="K63" s="4" t="inlineStr">
        <is>
          <t>Yes</t>
        </is>
      </c>
      <c r="L63" s="4" t="inlineStr">
        <is>
          <t>No</t>
        </is>
      </c>
      <c r="M63" s="4" t="inlineStr"/>
    </row>
    <row r="64">
      <c r="A64" s="4" t="inlineStr">
        <is>
          <t>COMP-057</t>
        </is>
      </c>
      <c r="B64" s="4" t="inlineStr">
        <is>
          <t>Paving section</t>
        </is>
      </c>
      <c r="C64" s="4" t="inlineStr">
        <is>
          <t>39-year nonresidential real property</t>
        </is>
      </c>
      <c r="D64" s="14" t="n">
        <v>45300</v>
      </c>
      <c r="E64" s="8" t="n">
        <v>30763.46</v>
      </c>
      <c r="F64" s="8" t="n">
        <v>2208.75</v>
      </c>
      <c r="G64" s="8" t="n">
        <v>0</v>
      </c>
      <c r="H64" s="8">
        <f>E64+F64-G64</f>
        <v/>
      </c>
      <c r="I64" s="6">
        <f>SUMIFS(Depreciation!$J$8:$J$137,Depreciation!$A$8:$A$137,$A64)</f>
        <v/>
      </c>
      <c r="J64" s="8">
        <f>H64-I64</f>
        <v/>
      </c>
      <c r="K64" s="4" t="inlineStr">
        <is>
          <t>No</t>
        </is>
      </c>
      <c r="L64" s="4" t="inlineStr">
        <is>
          <t>Yes</t>
        </is>
      </c>
      <c r="M64" s="4" t="inlineStr"/>
    </row>
    <row r="65">
      <c r="A65" s="4" t="inlineStr">
        <is>
          <t>COMP-058</t>
        </is>
      </c>
      <c r="B65" s="4" t="inlineStr">
        <is>
          <t>Plumbing replacement</t>
        </is>
      </c>
      <c r="C65" s="4" t="inlineStr">
        <is>
          <t>15-year land improvement</t>
        </is>
      </c>
      <c r="D65" s="14" t="n">
        <v>40284</v>
      </c>
      <c r="E65" s="8" t="n">
        <v>41390.07</v>
      </c>
      <c r="F65" s="8" t="n">
        <v>2767.87</v>
      </c>
      <c r="G65" s="8" t="n">
        <v>0</v>
      </c>
      <c r="H65" s="8">
        <f>E65+F65-G65</f>
        <v/>
      </c>
      <c r="I65" s="6">
        <f>SUMIFS(Depreciation!$J$8:$J$137,Depreciation!$A$8:$A$137,$A65)</f>
        <v/>
      </c>
      <c r="J65" s="8">
        <f>H65-I65</f>
        <v/>
      </c>
      <c r="K65" s="4" t="inlineStr">
        <is>
          <t>No</t>
        </is>
      </c>
      <c r="L65" s="4" t="inlineStr">
        <is>
          <t>No</t>
        </is>
      </c>
      <c r="M65" s="4" t="inlineStr"/>
    </row>
    <row r="66">
      <c r="A66" s="4" t="inlineStr">
        <is>
          <t>COMP-059</t>
        </is>
      </c>
      <c r="B66" s="4" t="inlineStr">
        <is>
          <t>Store fixture</t>
        </is>
      </c>
      <c r="C66" s="4" t="inlineStr">
        <is>
          <t>7-year property</t>
        </is>
      </c>
      <c r="D66" s="14" t="n">
        <v>40747</v>
      </c>
      <c r="E66" s="8" t="n">
        <v>52016.69</v>
      </c>
      <c r="F66" s="8" t="n">
        <v>3326.99</v>
      </c>
      <c r="G66" s="8" t="n">
        <v>0</v>
      </c>
      <c r="H66" s="8">
        <f>E66+F66-G66</f>
        <v/>
      </c>
      <c r="I66" s="6">
        <f>SUMIFS(Depreciation!$J$8:$J$137,Depreciation!$A$8:$A$137,$A66)</f>
        <v/>
      </c>
      <c r="J66" s="8">
        <f>H66-I66</f>
        <v/>
      </c>
      <c r="K66" s="4" t="inlineStr">
        <is>
          <t>Yes</t>
        </is>
      </c>
      <c r="L66" s="4" t="inlineStr">
        <is>
          <t>No</t>
        </is>
      </c>
      <c r="M66" s="4" t="inlineStr"/>
    </row>
    <row r="67">
      <c r="A67" s="4" t="inlineStr">
        <is>
          <t>COMP-060</t>
        </is>
      </c>
      <c r="B67" s="4" t="inlineStr">
        <is>
          <t>Exterior signage</t>
        </is>
      </c>
      <c r="C67" s="4" t="inlineStr">
        <is>
          <t>5-year property</t>
        </is>
      </c>
      <c r="D67" s="14" t="n">
        <v>41187</v>
      </c>
      <c r="E67" s="8" t="n">
        <v>62643.31</v>
      </c>
      <c r="F67" s="8" t="n">
        <v>3886.11</v>
      </c>
      <c r="G67" s="8" t="n">
        <v>0</v>
      </c>
      <c r="H67" s="8">
        <f>E67+F67-G67</f>
        <v/>
      </c>
      <c r="I67" s="6">
        <f>SUMIFS(Depreciation!$J$8:$J$137,Depreciation!$A$8:$A$137,$A67)</f>
        <v/>
      </c>
      <c r="J67" s="8">
        <f>H67-I67</f>
        <v/>
      </c>
      <c r="K67" s="4" t="inlineStr">
        <is>
          <t>Yes</t>
        </is>
      </c>
      <c r="L67" s="4" t="inlineStr">
        <is>
          <t>No</t>
        </is>
      </c>
      <c r="M67" s="4" t="inlineStr"/>
    </row>
    <row r="68">
      <c r="A68" s="4" t="inlineStr">
        <is>
          <t>COMP-061</t>
        </is>
      </c>
      <c r="B68" s="4" t="inlineStr">
        <is>
          <t>Roof replacement</t>
        </is>
      </c>
      <c r="C68" s="4" t="inlineStr">
        <is>
          <t>39-year nonresidential real property</t>
        </is>
      </c>
      <c r="D68" s="14" t="n">
        <v>41286</v>
      </c>
      <c r="E68" s="8" t="n">
        <v>73269.92</v>
      </c>
      <c r="F68" s="8" t="n">
        <v>4445.23</v>
      </c>
      <c r="G68" s="8" t="n">
        <v>0</v>
      </c>
      <c r="H68" s="8">
        <f>E68+F68-G68</f>
        <v/>
      </c>
      <c r="I68" s="6">
        <f>SUMIFS(Depreciation!$J$8:$J$137,Depreciation!$A$8:$A$137,$A68)</f>
        <v/>
      </c>
      <c r="J68" s="8">
        <f>H68-I68</f>
        <v/>
      </c>
      <c r="K68" s="4" t="inlineStr">
        <is>
          <t>No</t>
        </is>
      </c>
      <c r="L68" s="4" t="inlineStr">
        <is>
          <t>Yes</t>
        </is>
      </c>
      <c r="M68" s="4" t="inlineStr"/>
    </row>
    <row r="69">
      <c r="A69" s="4" t="inlineStr">
        <is>
          <t>COMP-062</t>
        </is>
      </c>
      <c r="B69" s="4" t="inlineStr">
        <is>
          <t>HVAC unit</t>
        </is>
      </c>
      <c r="C69" s="4" t="inlineStr">
        <is>
          <t>15-year land improvement</t>
        </is>
      </c>
      <c r="D69" s="14" t="n">
        <v>41748</v>
      </c>
      <c r="E69" s="8" t="n">
        <v>83896.53999999999</v>
      </c>
      <c r="F69" s="8" t="n">
        <v>5004.35</v>
      </c>
      <c r="G69" s="8" t="n">
        <v>0</v>
      </c>
      <c r="H69" s="8">
        <f>E69+F69-G69</f>
        <v/>
      </c>
      <c r="I69" s="6">
        <f>SUMIFS(Depreciation!$J$8:$J$137,Depreciation!$A$8:$A$137,$A69)</f>
        <v/>
      </c>
      <c r="J69" s="8">
        <f>H69-I69</f>
        <v/>
      </c>
      <c r="K69" s="4" t="inlineStr">
        <is>
          <t>No</t>
        </is>
      </c>
      <c r="L69" s="4" t="inlineStr">
        <is>
          <t>No</t>
        </is>
      </c>
      <c r="M69" s="4" t="inlineStr"/>
    </row>
    <row r="70">
      <c r="A70" s="4" t="inlineStr">
        <is>
          <t>COMP-063</t>
        </is>
      </c>
      <c r="B70" s="4" t="inlineStr">
        <is>
          <t>Electrical upgrade</t>
        </is>
      </c>
      <c r="C70" s="4" t="inlineStr">
        <is>
          <t>7-year property</t>
        </is>
      </c>
      <c r="D70" s="14" t="n">
        <v>42186</v>
      </c>
      <c r="E70" s="8" t="n">
        <v>94523.14999999999</v>
      </c>
      <c r="F70" s="8" t="n">
        <v>5563.47</v>
      </c>
      <c r="G70" s="8" t="n">
        <v>0</v>
      </c>
      <c r="H70" s="8">
        <f>E70+F70-G70</f>
        <v/>
      </c>
      <c r="I70" s="6">
        <f>SUMIFS(Depreciation!$J$8:$J$137,Depreciation!$A$8:$A$137,$A70)</f>
        <v/>
      </c>
      <c r="J70" s="8">
        <f>H70-I70</f>
        <v/>
      </c>
      <c r="K70" s="4" t="inlineStr">
        <is>
          <t>Yes</t>
        </is>
      </c>
      <c r="L70" s="4" t="inlineStr">
        <is>
          <t>No</t>
        </is>
      </c>
      <c r="M70" s="4" t="inlineStr"/>
    </row>
    <row r="71">
      <c r="A71" s="4" t="inlineStr">
        <is>
          <t>COMP-064</t>
        </is>
      </c>
      <c r="B71" s="4" t="inlineStr">
        <is>
          <t>Tenant improvement</t>
        </is>
      </c>
      <c r="C71" s="4" t="inlineStr">
        <is>
          <t>5-year property</t>
        </is>
      </c>
      <c r="D71" s="14" t="n">
        <v>42651</v>
      </c>
      <c r="E71" s="8" t="n">
        <v>105149.77</v>
      </c>
      <c r="F71" s="8" t="n">
        <v>6122.59</v>
      </c>
      <c r="G71" s="8" t="n">
        <v>1089.99</v>
      </c>
      <c r="H71" s="8">
        <f>E71+F71-G71</f>
        <v/>
      </c>
      <c r="I71" s="6">
        <f>SUMIFS(Depreciation!$J$8:$J$137,Depreciation!$A$8:$A$137,$A71)</f>
        <v/>
      </c>
      <c r="J71" s="8">
        <f>H71-I71</f>
        <v/>
      </c>
      <c r="K71" s="4" t="inlineStr">
        <is>
          <t>Yes</t>
        </is>
      </c>
      <c r="L71" s="4" t="inlineStr">
        <is>
          <t>No</t>
        </is>
      </c>
      <c r="M71" s="4" t="inlineStr"/>
    </row>
    <row r="72">
      <c r="A72" s="4" t="inlineStr">
        <is>
          <t>COMP-065</t>
        </is>
      </c>
      <c r="B72" s="4" t="inlineStr">
        <is>
          <t>Paving section</t>
        </is>
      </c>
      <c r="C72" s="4" t="inlineStr">
        <is>
          <t>39-year nonresidential real property</t>
        </is>
      </c>
      <c r="D72" s="14" t="n">
        <v>42750</v>
      </c>
      <c r="E72" s="8" t="n">
        <v>115776.39</v>
      </c>
      <c r="F72" s="8" t="n">
        <v>6681.71</v>
      </c>
      <c r="G72" s="8" t="n">
        <v>0</v>
      </c>
      <c r="H72" s="8">
        <f>E72+F72-G72</f>
        <v/>
      </c>
      <c r="I72" s="6">
        <f>SUMIFS(Depreciation!$J$8:$J$137,Depreciation!$A$8:$A$137,$A72)</f>
        <v/>
      </c>
      <c r="J72" s="8">
        <f>H72-I72</f>
        <v/>
      </c>
      <c r="K72" s="4" t="inlineStr">
        <is>
          <t>No</t>
        </is>
      </c>
      <c r="L72" s="4" t="inlineStr">
        <is>
          <t>Yes</t>
        </is>
      </c>
      <c r="M72" s="4" t="inlineStr"/>
    </row>
    <row r="73">
      <c r="A73" s="4" t="inlineStr">
        <is>
          <t>COMP-066</t>
        </is>
      </c>
      <c r="B73" s="4" t="inlineStr">
        <is>
          <t>Plumbing replacement</t>
        </is>
      </c>
      <c r="C73" s="4" t="inlineStr">
        <is>
          <t>15-year land improvement</t>
        </is>
      </c>
      <c r="D73" s="14" t="n">
        <v>43212</v>
      </c>
      <c r="E73" s="8" t="n">
        <v>126403</v>
      </c>
      <c r="F73" s="8" t="n">
        <v>7240.83</v>
      </c>
      <c r="G73" s="8" t="n">
        <v>0</v>
      </c>
      <c r="H73" s="8">
        <f>E73+F73-G73</f>
        <v/>
      </c>
      <c r="I73" s="6">
        <f>SUMIFS(Depreciation!$J$8:$J$137,Depreciation!$A$8:$A$137,$A73)</f>
        <v/>
      </c>
      <c r="J73" s="8">
        <f>H73-I73</f>
        <v/>
      </c>
      <c r="K73" s="4" t="inlineStr">
        <is>
          <t>No</t>
        </is>
      </c>
      <c r="L73" s="4" t="inlineStr">
        <is>
          <t>No</t>
        </is>
      </c>
      <c r="M73" s="4" t="inlineStr"/>
    </row>
    <row r="74">
      <c r="A74" s="4" t="inlineStr">
        <is>
          <t>COMP-067</t>
        </is>
      </c>
      <c r="B74" s="4" t="inlineStr">
        <is>
          <t>Store fixture</t>
        </is>
      </c>
      <c r="C74" s="4" t="inlineStr">
        <is>
          <t>7-year property</t>
        </is>
      </c>
      <c r="D74" s="14" t="n">
        <v>43650</v>
      </c>
      <c r="E74" s="8" t="n">
        <v>23533.25</v>
      </c>
      <c r="F74" s="8" t="n">
        <v>7799.95</v>
      </c>
      <c r="G74" s="8" t="n">
        <v>0</v>
      </c>
      <c r="H74" s="8">
        <f>E74+F74-G74</f>
        <v/>
      </c>
      <c r="I74" s="6">
        <f>SUMIFS(Depreciation!$J$8:$J$137,Depreciation!$A$8:$A$137,$A74)</f>
        <v/>
      </c>
      <c r="J74" s="8">
        <f>H74-I74</f>
        <v/>
      </c>
      <c r="K74" s="4" t="inlineStr">
        <is>
          <t>Yes</t>
        </is>
      </c>
      <c r="L74" s="4" t="inlineStr">
        <is>
          <t>No</t>
        </is>
      </c>
      <c r="M74" s="4" t="inlineStr"/>
    </row>
    <row r="75">
      <c r="A75" s="4" t="inlineStr">
        <is>
          <t>COMP-068</t>
        </is>
      </c>
      <c r="B75" s="4" t="inlineStr">
        <is>
          <t>Exterior signage</t>
        </is>
      </c>
      <c r="C75" s="4" t="inlineStr">
        <is>
          <t>5-year property</t>
        </is>
      </c>
      <c r="D75" s="14" t="n">
        <v>44115</v>
      </c>
      <c r="E75" s="8" t="n">
        <v>34159.86</v>
      </c>
      <c r="F75" s="8" t="n">
        <v>8359.07</v>
      </c>
      <c r="G75" s="8" t="n">
        <v>0</v>
      </c>
      <c r="H75" s="8">
        <f>E75+F75-G75</f>
        <v/>
      </c>
      <c r="I75" s="6">
        <f>SUMIFS(Depreciation!$J$8:$J$137,Depreciation!$A$8:$A$137,$A75)</f>
        <v/>
      </c>
      <c r="J75" s="8">
        <f>H75-I75</f>
        <v/>
      </c>
      <c r="K75" s="4" t="inlineStr">
        <is>
          <t>Yes</t>
        </is>
      </c>
      <c r="L75" s="4" t="inlineStr">
        <is>
          <t>No</t>
        </is>
      </c>
      <c r="M75" s="4" t="inlineStr"/>
    </row>
    <row r="76">
      <c r="A76" s="4" t="inlineStr">
        <is>
          <t>COMP-069</t>
        </is>
      </c>
      <c r="B76" s="4" t="inlineStr">
        <is>
          <t>Roof replacement</t>
        </is>
      </c>
      <c r="C76" s="4" t="inlineStr">
        <is>
          <t>39-year nonresidential real property</t>
        </is>
      </c>
      <c r="D76" s="14" t="n">
        <v>44214</v>
      </c>
      <c r="E76" s="8" t="n">
        <v>44786.48</v>
      </c>
      <c r="F76" s="8" t="n">
        <v>8918.190000000001</v>
      </c>
      <c r="G76" s="8" t="n">
        <v>0</v>
      </c>
      <c r="H76" s="8">
        <f>E76+F76-G76</f>
        <v/>
      </c>
      <c r="I76" s="6">
        <f>SUMIFS(Depreciation!$J$8:$J$137,Depreciation!$A$8:$A$137,$A76)</f>
        <v/>
      </c>
      <c r="J76" s="8">
        <f>H76-I76</f>
        <v/>
      </c>
      <c r="K76" s="4" t="inlineStr">
        <is>
          <t>No</t>
        </is>
      </c>
      <c r="L76" s="4" t="inlineStr">
        <is>
          <t>Yes</t>
        </is>
      </c>
      <c r="M76" s="4" t="inlineStr"/>
    </row>
    <row r="77">
      <c r="A77" s="4" t="inlineStr">
        <is>
          <t>COMP-070</t>
        </is>
      </c>
      <c r="B77" s="4" t="inlineStr">
        <is>
          <t>HVAC unit</t>
        </is>
      </c>
      <c r="C77" s="4" t="inlineStr">
        <is>
          <t>15-year land improvement</t>
        </is>
      </c>
      <c r="D77" s="14" t="n">
        <v>44676</v>
      </c>
      <c r="E77" s="8" t="n">
        <v>55413.1</v>
      </c>
      <c r="F77" s="8" t="n">
        <v>9477.309999999999</v>
      </c>
      <c r="G77" s="8" t="n">
        <v>0</v>
      </c>
      <c r="H77" s="8">
        <f>E77+F77-G77</f>
        <v/>
      </c>
      <c r="I77" s="6">
        <f>SUMIFS(Depreciation!$J$8:$J$137,Depreciation!$A$8:$A$137,$A77)</f>
        <v/>
      </c>
      <c r="J77" s="8">
        <f>H77-I77</f>
        <v/>
      </c>
      <c r="K77" s="4" t="inlineStr">
        <is>
          <t>No</t>
        </is>
      </c>
      <c r="L77" s="4" t="inlineStr">
        <is>
          <t>No</t>
        </is>
      </c>
      <c r="M77" s="4" t="inlineStr"/>
    </row>
    <row r="78">
      <c r="A78" s="4" t="inlineStr">
        <is>
          <t>COMP-071</t>
        </is>
      </c>
      <c r="B78" s="4" t="inlineStr">
        <is>
          <t>Electrical upgrade</t>
        </is>
      </c>
      <c r="C78" s="4" t="inlineStr">
        <is>
          <t>7-year property</t>
        </is>
      </c>
      <c r="D78" s="14" t="n">
        <v>45114</v>
      </c>
      <c r="E78" s="8" t="n">
        <v>66039.71000000001</v>
      </c>
      <c r="F78" s="8" t="n">
        <v>10036.43</v>
      </c>
      <c r="G78" s="8" t="n">
        <v>0</v>
      </c>
      <c r="H78" s="8">
        <f>E78+F78-G78</f>
        <v/>
      </c>
      <c r="I78" s="6">
        <f>SUMIFS(Depreciation!$J$8:$J$137,Depreciation!$A$8:$A$137,$A78)</f>
        <v/>
      </c>
      <c r="J78" s="8">
        <f>H78-I78</f>
        <v/>
      </c>
      <c r="K78" s="4" t="inlineStr">
        <is>
          <t>Yes</t>
        </is>
      </c>
      <c r="L78" s="4" t="inlineStr">
        <is>
          <t>No</t>
        </is>
      </c>
      <c r="M78" s="4" t="inlineStr"/>
    </row>
    <row r="79">
      <c r="A79" s="4" t="inlineStr">
        <is>
          <t>COMP-072</t>
        </is>
      </c>
      <c r="B79" s="4" t="inlineStr">
        <is>
          <t>Tenant improvement</t>
        </is>
      </c>
      <c r="C79" s="4" t="inlineStr">
        <is>
          <t>5-year property</t>
        </is>
      </c>
      <c r="D79" s="14" t="n">
        <v>45579</v>
      </c>
      <c r="E79" s="8" t="n">
        <v>76666.33</v>
      </c>
      <c r="F79" s="8" t="n">
        <v>10595.55</v>
      </c>
      <c r="G79" s="8" t="n">
        <v>0</v>
      </c>
      <c r="H79" s="8">
        <f>E79+F79-G79</f>
        <v/>
      </c>
      <c r="I79" s="6">
        <f>SUMIFS(Depreciation!$J$8:$J$137,Depreciation!$A$8:$A$137,$A79)</f>
        <v/>
      </c>
      <c r="J79" s="8">
        <f>H79-I79</f>
        <v/>
      </c>
      <c r="K79" s="4" t="inlineStr">
        <is>
          <t>Yes</t>
        </is>
      </c>
      <c r="L79" s="4" t="inlineStr">
        <is>
          <t>No</t>
        </is>
      </c>
      <c r="M79" s="4" t="inlineStr"/>
    </row>
    <row r="80">
      <c r="A80" s="4" t="inlineStr">
        <is>
          <t>COMP-073</t>
        </is>
      </c>
      <c r="B80" s="4" t="inlineStr">
        <is>
          <t>Paving section</t>
        </is>
      </c>
      <c r="C80" s="4" t="inlineStr">
        <is>
          <t>39-year nonresidential real property</t>
        </is>
      </c>
      <c r="D80" s="14" t="n">
        <v>40199</v>
      </c>
      <c r="E80" s="8" t="n">
        <v>87292.94</v>
      </c>
      <c r="F80" s="8" t="n">
        <v>11154.67</v>
      </c>
      <c r="G80" s="8" t="n">
        <v>0</v>
      </c>
      <c r="H80" s="8">
        <f>E80+F80-G80</f>
        <v/>
      </c>
      <c r="I80" s="6">
        <f>SUMIFS(Depreciation!$J$8:$J$137,Depreciation!$A$8:$A$137,$A80)</f>
        <v/>
      </c>
      <c r="J80" s="8">
        <f>H80-I80</f>
        <v/>
      </c>
      <c r="K80" s="4" t="inlineStr">
        <is>
          <t>No</t>
        </is>
      </c>
      <c r="L80" s="4" t="inlineStr">
        <is>
          <t>Yes</t>
        </is>
      </c>
      <c r="M80" s="4" t="inlineStr"/>
    </row>
    <row r="81">
      <c r="A81" s="4" t="inlineStr">
        <is>
          <t>COMP-074</t>
        </is>
      </c>
      <c r="B81" s="4" t="inlineStr">
        <is>
          <t>Plumbing replacement</t>
        </is>
      </c>
      <c r="C81" s="4" t="inlineStr">
        <is>
          <t>15-year land improvement</t>
        </is>
      </c>
      <c r="D81" s="14" t="n">
        <v>40636</v>
      </c>
      <c r="E81" s="8" t="n">
        <v>97919.56</v>
      </c>
      <c r="F81" s="8" t="n">
        <v>517.53</v>
      </c>
      <c r="G81" s="8" t="n">
        <v>0</v>
      </c>
      <c r="H81" s="8">
        <f>E81+F81-G81</f>
        <v/>
      </c>
      <c r="I81" s="6">
        <f>SUMIFS(Depreciation!$J$8:$J$137,Depreciation!$A$8:$A$137,$A81)</f>
        <v/>
      </c>
      <c r="J81" s="8">
        <f>H81-I81</f>
        <v/>
      </c>
      <c r="K81" s="4" t="inlineStr">
        <is>
          <t>No</t>
        </is>
      </c>
      <c r="L81" s="4" t="inlineStr">
        <is>
          <t>No</t>
        </is>
      </c>
      <c r="M81" s="4" t="inlineStr"/>
    </row>
    <row r="82">
      <c r="A82" s="4" t="inlineStr">
        <is>
          <t>COMP-075</t>
        </is>
      </c>
      <c r="B82" s="4" t="inlineStr">
        <is>
          <t>Store fixture</t>
        </is>
      </c>
      <c r="C82" s="4" t="inlineStr">
        <is>
          <t>7-year property</t>
        </is>
      </c>
      <c r="D82" s="14" t="n">
        <v>41100</v>
      </c>
      <c r="E82" s="8" t="n">
        <v>108546.18</v>
      </c>
      <c r="F82" s="8" t="n">
        <v>1076.65</v>
      </c>
      <c r="G82" s="8" t="n">
        <v>0</v>
      </c>
      <c r="H82" s="8">
        <f>E82+F82-G82</f>
        <v/>
      </c>
      <c r="I82" s="6">
        <f>SUMIFS(Depreciation!$J$8:$J$137,Depreciation!$A$8:$A$137,$A82)</f>
        <v/>
      </c>
      <c r="J82" s="8">
        <f>H82-I82</f>
        <v/>
      </c>
      <c r="K82" s="4" t="inlineStr">
        <is>
          <t>Yes</t>
        </is>
      </c>
      <c r="L82" s="4" t="inlineStr">
        <is>
          <t>No</t>
        </is>
      </c>
      <c r="M82" s="4" t="inlineStr"/>
    </row>
    <row r="83">
      <c r="A83" s="4" t="inlineStr">
        <is>
          <t>COMP-076</t>
        </is>
      </c>
      <c r="B83" s="4" t="inlineStr">
        <is>
          <t>Exterior signage</t>
        </is>
      </c>
      <c r="C83" s="4" t="inlineStr">
        <is>
          <t>5-year property</t>
        </is>
      </c>
      <c r="D83" s="14" t="n">
        <v>41564</v>
      </c>
      <c r="E83" s="8" t="n">
        <v>119172.79</v>
      </c>
      <c r="F83" s="8" t="n">
        <v>1635.76</v>
      </c>
      <c r="G83" s="8" t="n">
        <v>0</v>
      </c>
      <c r="H83" s="8">
        <f>E83+F83-G83</f>
        <v/>
      </c>
      <c r="I83" s="6">
        <f>SUMIFS(Depreciation!$J$8:$J$137,Depreciation!$A$8:$A$137,$A83)</f>
        <v/>
      </c>
      <c r="J83" s="8">
        <f>H83-I83</f>
        <v/>
      </c>
      <c r="K83" s="4" t="inlineStr">
        <is>
          <t>Yes</t>
        </is>
      </c>
      <c r="L83" s="4" t="inlineStr">
        <is>
          <t>No</t>
        </is>
      </c>
      <c r="M83" s="4" t="inlineStr"/>
    </row>
    <row r="84">
      <c r="A84" s="4" t="inlineStr">
        <is>
          <t>COMP-077</t>
        </is>
      </c>
      <c r="B84" s="4" t="inlineStr">
        <is>
          <t>Roof replacement</t>
        </is>
      </c>
      <c r="C84" s="4" t="inlineStr">
        <is>
          <t>39-year nonresidential real property</t>
        </is>
      </c>
      <c r="D84" s="14" t="n">
        <v>41663</v>
      </c>
      <c r="E84" s="8" t="n">
        <v>129799.41</v>
      </c>
      <c r="F84" s="8" t="n">
        <v>2194.88</v>
      </c>
      <c r="G84" s="8" t="n">
        <v>0</v>
      </c>
      <c r="H84" s="8">
        <f>E84+F84-G84</f>
        <v/>
      </c>
      <c r="I84" s="6">
        <f>SUMIFS(Depreciation!$J$8:$J$137,Depreciation!$A$8:$A$137,$A84)</f>
        <v/>
      </c>
      <c r="J84" s="8">
        <f>H84-I84</f>
        <v/>
      </c>
      <c r="K84" s="4" t="inlineStr">
        <is>
          <t>No</t>
        </is>
      </c>
      <c r="L84" s="4" t="inlineStr">
        <is>
          <t>Yes</t>
        </is>
      </c>
      <c r="M84" s="4" t="inlineStr"/>
    </row>
    <row r="85">
      <c r="A85" s="4" t="inlineStr">
        <is>
          <t>COMP-078</t>
        </is>
      </c>
      <c r="B85" s="4" t="inlineStr">
        <is>
          <t>HVAC unit</t>
        </is>
      </c>
      <c r="C85" s="4" t="inlineStr">
        <is>
          <t>15-year land improvement</t>
        </is>
      </c>
      <c r="D85" s="14" t="n">
        <v>42100</v>
      </c>
      <c r="E85" s="8" t="n">
        <v>26929.65</v>
      </c>
      <c r="F85" s="8" t="n">
        <v>2754</v>
      </c>
      <c r="G85" s="8" t="n">
        <v>0</v>
      </c>
      <c r="H85" s="8">
        <f>E85+F85-G85</f>
        <v/>
      </c>
      <c r="I85" s="6">
        <f>SUMIFS(Depreciation!$J$8:$J$137,Depreciation!$A$8:$A$137,$A85)</f>
        <v/>
      </c>
      <c r="J85" s="8">
        <f>H85-I85</f>
        <v/>
      </c>
      <c r="K85" s="4" t="inlineStr">
        <is>
          <t>No</t>
        </is>
      </c>
      <c r="L85" s="4" t="inlineStr">
        <is>
          <t>No</t>
        </is>
      </c>
      <c r="M85" s="4" t="inlineStr"/>
    </row>
    <row r="86">
      <c r="A86" s="4" t="inlineStr">
        <is>
          <t>COMP-079</t>
        </is>
      </c>
      <c r="B86" s="4" t="inlineStr">
        <is>
          <t>Electrical upgrade</t>
        </is>
      </c>
      <c r="C86" s="4" t="inlineStr">
        <is>
          <t>7-year property</t>
        </is>
      </c>
      <c r="D86" s="14" t="n">
        <v>42564</v>
      </c>
      <c r="E86" s="8" t="n">
        <v>37556.27</v>
      </c>
      <c r="F86" s="8" t="n">
        <v>3313.12</v>
      </c>
      <c r="G86" s="8" t="n">
        <v>0</v>
      </c>
      <c r="H86" s="8">
        <f>E86+F86-G86</f>
        <v/>
      </c>
      <c r="I86" s="6">
        <f>SUMIFS(Depreciation!$J$8:$J$137,Depreciation!$A$8:$A$137,$A86)</f>
        <v/>
      </c>
      <c r="J86" s="8">
        <f>H86-I86</f>
        <v/>
      </c>
      <c r="K86" s="4" t="inlineStr">
        <is>
          <t>Yes</t>
        </is>
      </c>
      <c r="L86" s="4" t="inlineStr">
        <is>
          <t>No</t>
        </is>
      </c>
      <c r="M86" s="4" t="inlineStr"/>
    </row>
    <row r="87">
      <c r="A87" s="4" t="inlineStr">
        <is>
          <t>COMP-080</t>
        </is>
      </c>
      <c r="B87" s="4" t="inlineStr">
        <is>
          <t>Tenant improvement</t>
        </is>
      </c>
      <c r="C87" s="4" t="inlineStr">
        <is>
          <t>5-year property</t>
        </is>
      </c>
      <c r="D87" s="14" t="n">
        <v>43028</v>
      </c>
      <c r="E87" s="8" t="n">
        <v>48182.97</v>
      </c>
      <c r="F87" s="8" t="n">
        <v>3872.24</v>
      </c>
      <c r="G87" s="8" t="n">
        <v>0</v>
      </c>
      <c r="H87" s="8">
        <f>E87+F87-G87</f>
        <v/>
      </c>
      <c r="I87" s="6">
        <f>SUMIFS(Depreciation!$J$8:$J$137,Depreciation!$A$8:$A$137,$A87)</f>
        <v/>
      </c>
      <c r="J87" s="8">
        <f>H87-I87</f>
        <v/>
      </c>
      <c r="K87" s="4" t="inlineStr">
        <is>
          <t>Yes</t>
        </is>
      </c>
      <c r="L87" s="4" t="inlineStr">
        <is>
          <t>No</t>
        </is>
      </c>
      <c r="M87" s="4" t="inlineStr"/>
    </row>
    <row r="88">
      <c r="A88" s="20" t="inlineStr">
        <is>
          <t>TOTAL</t>
        </is>
      </c>
      <c r="B88" s="20" t="n"/>
      <c r="C88" s="20" t="n"/>
      <c r="D88" s="20" t="n"/>
      <c r="E88" s="20" t="n"/>
      <c r="F88" s="20" t="n"/>
      <c r="G88" s="20" t="n"/>
      <c r="H88" s="21">
        <f>SUM(H8:H87)</f>
        <v/>
      </c>
      <c r="I88" s="21">
        <f>SUM(I8:I87)</f>
        <v/>
      </c>
      <c r="J88" s="21">
        <f>SUM(J8:J87)</f>
        <v/>
      </c>
      <c r="K88" s="20" t="n"/>
      <c r="L88" s="20" t="n"/>
      <c r="M88" s="20" t="n"/>
    </row>
    <row r="89"/>
    <row r="90"/>
    <row r="91"/>
    <row r="92"/>
    <row r="93"/>
    <row r="94"/>
    <row r="95"/>
    <row r="96">
      <c r="A96" s="19" t="inlineStr">
        <is>
          <t>End of asset-level basis schedule</t>
        </is>
      </c>
    </row>
  </sheetData>
  <autoFilter ref="A7:M87"/>
  <mergeCells count="2">
    <mergeCell ref="A2:M2"/>
    <mergeCell ref="A1:M1"/>
  </mergeCells>
  <conditionalFormatting sqref="J8:J87">
    <cfRule type="cellIs" priority="1" operator="lessThan" dxfId="4">
      <formula>0</formula>
    </cfRule>
  </conditionalFormatting>
  <conditionalFormatting sqref="M8:M87">
    <cfRule type="expression" priority="2" dxfId="1">
      <formula>ISNUMBER(SEARCH("Pending",$M8))</formula>
    </cfRule>
  </conditionalFormatting>
  <conditionalFormatting sqref="I8:I87">
    <cfRule type="dataBar" priority="3">
      <dataBar>
        <cfvo type="min"/>
        <cfvo type="max"/>
        <color rgb="009FBAD0"/>
      </dataBar>
    </cfRule>
  </conditionalFormatting>
  <dataValidations count="2">
    <dataValidation sqref="K8:K87" showDropDown="0" showInputMessage="0" showErrorMessage="0" allowBlank="1" type="list">
      <formula1>"Yes,No"</formula1>
    </dataValidation>
    <dataValidation sqref="L8:L87" showDropDown="0" showInputMessage="0" showErrorMessage="0" allowBlank="1" type="list">
      <formula1>"Yes,No"</formula1>
    </dataValidation>
  </dataValidations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45"/>
  <sheetViews>
    <sheetView showGridLines="0" zoomScale="85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16" customWidth="1" min="3" max="3"/>
    <col width="15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4" customWidth="1" min="13" max="13"/>
  </cols>
  <sheetData>
    <row r="1" ht="24" customHeight="1">
      <c r="A1" s="1" t="inlineStr">
        <is>
          <t>ADC Fairfax &amp; 3rd Disposal Tax Model — Depreciation</t>
        </is>
      </c>
    </row>
    <row r="2" ht="28" customHeight="1">
      <c r="A2" s="2" t="inlineStr">
        <is>
          <t>Allowed-or-allowable depreciation through September 30, 2025; the detailed schedule supports basis and recapture classifications.</t>
        </is>
      </c>
    </row>
    <row r="3"/>
    <row r="4"/>
    <row r="5" ht="32" customHeight="1">
      <c r="A5" s="3" t="inlineStr">
        <is>
          <t>Asset ID</t>
        </is>
      </c>
      <c r="B5" s="3" t="inlineStr">
        <is>
          <t>Component</t>
        </is>
      </c>
      <c r="C5" s="3" t="inlineStr">
        <is>
          <t>Placed In Service</t>
        </is>
      </c>
      <c r="D5" s="3" t="inlineStr">
        <is>
          <t>Recovery Period</t>
        </is>
      </c>
      <c r="E5" s="3" t="inlineStr">
        <is>
          <t>Method</t>
        </is>
      </c>
      <c r="F5" s="3" t="inlineStr">
        <is>
          <t>Convention</t>
        </is>
      </c>
      <c r="G5" s="3" t="inlineStr">
        <is>
          <t>Depreciable Basis</t>
        </is>
      </c>
      <c r="H5" s="3" t="inlineStr">
        <is>
          <t>Prior Depreciation</t>
        </is>
      </c>
      <c r="I5" s="3" t="inlineStr">
        <is>
          <t>2025 Depreciation</t>
        </is>
      </c>
      <c r="J5" s="3" t="inlineStr">
        <is>
          <t>Accumulated Depreciation</t>
        </is>
      </c>
      <c r="K5" s="3" t="inlineStr">
        <is>
          <t>Remaining Tax Basis</t>
        </is>
      </c>
      <c r="L5" s="3" t="inlineStr">
        <is>
          <t>Recapture Class</t>
        </is>
      </c>
      <c r="M5" s="3" t="inlineStr">
        <is>
          <t>Control Check</t>
        </is>
      </c>
    </row>
    <row r="6"/>
    <row r="7"/>
    <row r="8">
      <c r="A8" s="22">
        <f>'Tax Basis'!A8</f>
        <v/>
      </c>
      <c r="B8" s="22">
        <f>IFERROR(INDEX('Tax Basis'!$B$8:$B$87,MATCH($A8,'Tax Basis'!$A$8:$A$87,0)),"Review-only vintage split")</f>
        <v/>
      </c>
      <c r="C8" s="23">
        <f>IFERROR(INDEX('Tax Basis'!$D$8:$D$87,MATCH($A8,'Tax Basis'!$A$8:$A$87,0)),Sale_Date)</f>
        <v/>
      </c>
      <c r="D8" s="4" t="n">
        <v>0</v>
      </c>
      <c r="E8" s="4" t="inlineStr">
        <is>
          <t>SL</t>
        </is>
      </c>
      <c r="F8" s="4" t="inlineStr">
        <is>
          <t>Mid-month</t>
        </is>
      </c>
      <c r="G8" s="6">
        <f>IFERROR(IF(INDEX('Tax Basis'!$C$8:$C$87,MATCH($A8,'Tax Basis'!$A$8:$A$87,0))="Nondepreciable land",0,INDEX('Tax Basis'!$H$8:$H$87,MATCH($A8,'Tax Basis'!$A$8:$A$87,0))),0)</f>
        <v/>
      </c>
      <c r="H8" s="8" t="n">
        <v>0</v>
      </c>
      <c r="I8" s="8" t="n">
        <v>0</v>
      </c>
      <c r="J8" s="8">
        <f>MIN(G8,H8+I8)</f>
        <v/>
      </c>
      <c r="K8" s="8">
        <f>G8-J8</f>
        <v/>
      </c>
      <c r="L8" s="4" t="inlineStr">
        <is>
          <t>None</t>
        </is>
      </c>
      <c r="M8" s="4">
        <f>IF(AND(J8&lt;=G8,K8&gt;=0),"OK","CHECK")</f>
        <v/>
      </c>
    </row>
    <row r="9">
      <c r="A9" s="22">
        <f>'Tax Basis'!A9</f>
        <v/>
      </c>
      <c r="B9" s="22">
        <f>IFERROR(INDEX('Tax Basis'!$B$8:$B$87,MATCH($A9,'Tax Basis'!$A$8:$A$87,0)),"Review-only vintage split")</f>
        <v/>
      </c>
      <c r="C9" s="23">
        <f>IFERROR(INDEX('Tax Basis'!$D$8:$D$87,MATCH($A9,'Tax Basis'!$A$8:$A$87,0)),Sale_Date)</f>
        <v/>
      </c>
      <c r="D9" s="4" t="n">
        <v>39</v>
      </c>
      <c r="E9" s="4" t="inlineStr">
        <is>
          <t>SL</t>
        </is>
      </c>
      <c r="F9" s="4" t="inlineStr">
        <is>
          <t>Mid-month</t>
        </is>
      </c>
      <c r="G9" s="6">
        <f>IFERROR(IF(INDEX('Tax Basis'!$C$8:$C$87,MATCH($A9,'Tax Basis'!$A$8:$A$87,0))="Nondepreciable land",0,INDEX('Tax Basis'!$H$8:$H$87,MATCH($A9,'Tax Basis'!$A$8:$A$87,0))),0)</f>
        <v/>
      </c>
      <c r="H9" s="8" t="n">
        <v>3310439.93</v>
      </c>
      <c r="I9" s="8" t="n">
        <v>211304.68</v>
      </c>
      <c r="J9" s="8">
        <f>MIN(G9,H9+I9)</f>
        <v/>
      </c>
      <c r="K9" s="8">
        <f>G9-J9</f>
        <v/>
      </c>
      <c r="L9" s="4" t="inlineStr">
        <is>
          <t>Section 1250</t>
        </is>
      </c>
      <c r="M9" s="4">
        <f>IF(AND(J9&lt;=G9,K9&gt;=0),"OK","CHECK")</f>
        <v/>
      </c>
    </row>
    <row r="10">
      <c r="A10" s="22">
        <f>'Tax Basis'!A10</f>
        <v/>
      </c>
      <c r="B10" s="22">
        <f>IFERROR(INDEX('Tax Basis'!$B$8:$B$87,MATCH($A10,'Tax Basis'!$A$8:$A$87,0)),"Review-only vintage split")</f>
        <v/>
      </c>
      <c r="C10" s="23">
        <f>IFERROR(INDEX('Tax Basis'!$D$8:$D$87,MATCH($A10,'Tax Basis'!$A$8:$A$87,0)),Sale_Date)</f>
        <v/>
      </c>
      <c r="D10" s="4" t="n">
        <v>39</v>
      </c>
      <c r="E10" s="4" t="inlineStr">
        <is>
          <t>SL</t>
        </is>
      </c>
      <c r="F10" s="4" t="inlineStr">
        <is>
          <t>Mid-month</t>
        </is>
      </c>
      <c r="G10" s="6">
        <f>IFERROR(IF(INDEX('Tax Basis'!$C$8:$C$87,MATCH($A10,'Tax Basis'!$A$8:$A$87,0))="Nondepreciable land",0,INDEX('Tax Basis'!$H$8:$H$87,MATCH($A10,'Tax Basis'!$A$8:$A$87,0))),0)</f>
        <v/>
      </c>
      <c r="H10" s="8" t="n">
        <v>1344563.39</v>
      </c>
      <c r="I10" s="8" t="n">
        <v>85823.19</v>
      </c>
      <c r="J10" s="8">
        <f>MIN(G10,H10+I10)</f>
        <v/>
      </c>
      <c r="K10" s="8">
        <f>G10-J10</f>
        <v/>
      </c>
      <c r="L10" s="4" t="inlineStr">
        <is>
          <t>Section 1250</t>
        </is>
      </c>
      <c r="M10" s="4">
        <f>IF(AND(J10&lt;=G10,K10&gt;=0),"OK","CHECK")</f>
        <v/>
      </c>
    </row>
    <row r="11">
      <c r="A11" s="22">
        <f>'Tax Basis'!A11</f>
        <v/>
      </c>
      <c r="B11" s="22">
        <f>IFERROR(INDEX('Tax Basis'!$B$8:$B$87,MATCH($A11,'Tax Basis'!$A$8:$A$87,0)),"Review-only vintage split")</f>
        <v/>
      </c>
      <c r="C11" s="23">
        <f>IFERROR(INDEX('Tax Basis'!$D$8:$D$87,MATCH($A11,'Tax Basis'!$A$8:$A$87,0)),Sale_Date)</f>
        <v/>
      </c>
      <c r="D11" s="4" t="n">
        <v>39</v>
      </c>
      <c r="E11" s="4" t="inlineStr">
        <is>
          <t>SL</t>
        </is>
      </c>
      <c r="F11" s="4" t="inlineStr">
        <is>
          <t>Mid-month</t>
        </is>
      </c>
      <c r="G11" s="6">
        <f>IFERROR(IF(INDEX('Tax Basis'!$C$8:$C$87,MATCH($A11,'Tax Basis'!$A$8:$A$87,0))="Nondepreciable land",0,INDEX('Tax Basis'!$H$8:$H$87,MATCH($A11,'Tax Basis'!$A$8:$A$87,0))),0)</f>
        <v/>
      </c>
      <c r="H11" s="8" t="n">
        <v>174902.78</v>
      </c>
      <c r="I11" s="8" t="n">
        <v>11164.01</v>
      </c>
      <c r="J11" s="8">
        <f>MIN(G11,H11+I11)</f>
        <v/>
      </c>
      <c r="K11" s="8">
        <f>G11-J11</f>
        <v/>
      </c>
      <c r="L11" s="4" t="inlineStr">
        <is>
          <t>Section 1250</t>
        </is>
      </c>
      <c r="M11" s="4">
        <f>IF(AND(J11&lt;=G11,K11&gt;=0),"OK","CHECK")</f>
        <v/>
      </c>
    </row>
    <row r="12">
      <c r="A12" s="22">
        <f>'Tax Basis'!A12</f>
        <v/>
      </c>
      <c r="B12" s="22">
        <f>IFERROR(INDEX('Tax Basis'!$B$8:$B$87,MATCH($A12,'Tax Basis'!$A$8:$A$87,0)),"Review-only vintage split")</f>
        <v/>
      </c>
      <c r="C12" s="23">
        <f>IFERROR(INDEX('Tax Basis'!$D$8:$D$87,MATCH($A12,'Tax Basis'!$A$8:$A$87,0)),Sale_Date)</f>
        <v/>
      </c>
      <c r="D12" s="4" t="n">
        <v>15</v>
      </c>
      <c r="E12" s="4" t="inlineStr">
        <is>
          <t>SL</t>
        </is>
      </c>
      <c r="F12" s="4" t="inlineStr">
        <is>
          <t>Mid-month</t>
        </is>
      </c>
      <c r="G12" s="6">
        <f>IFERROR(IF(INDEX('Tax Basis'!$C$8:$C$87,MATCH($A12,'Tax Basis'!$A$8:$A$87,0))="Nondepreciable land",0,INDEX('Tax Basis'!$H$8:$H$87,MATCH($A12,'Tax Basis'!$A$8:$A$87,0))),0)</f>
        <v/>
      </c>
      <c r="H12" s="8" t="n">
        <v>136289.81</v>
      </c>
      <c r="I12" s="8" t="n">
        <v>8699.35</v>
      </c>
      <c r="J12" s="8">
        <f>MIN(G12,H12+I12)</f>
        <v/>
      </c>
      <c r="K12" s="8">
        <f>G12-J12</f>
        <v/>
      </c>
      <c r="L12" s="4" t="inlineStr">
        <is>
          <t>Section 1250</t>
        </is>
      </c>
      <c r="M12" s="4">
        <f>IF(AND(J12&lt;=G12,K12&gt;=0),"OK","CHECK")</f>
        <v/>
      </c>
    </row>
    <row r="13">
      <c r="A13" s="22">
        <f>'Tax Basis'!A13</f>
        <v/>
      </c>
      <c r="B13" s="22">
        <f>IFERROR(INDEX('Tax Basis'!$B$8:$B$87,MATCH($A13,'Tax Basis'!$A$8:$A$87,0)),"Review-only vintage split")</f>
        <v/>
      </c>
      <c r="C13" s="23">
        <f>IFERROR(INDEX('Tax Basis'!$D$8:$D$87,MATCH($A13,'Tax Basis'!$A$8:$A$87,0)),Sale_Date)</f>
        <v/>
      </c>
      <c r="D13" s="4" t="n">
        <v>7</v>
      </c>
      <c r="E13" s="4" t="inlineStr">
        <is>
          <t>200% DB</t>
        </is>
      </c>
      <c r="F13" s="4" t="inlineStr">
        <is>
          <t>Half-year</t>
        </is>
      </c>
      <c r="G13" s="6">
        <f>IFERROR(IF(INDEX('Tax Basis'!$C$8:$C$87,MATCH($A13,'Tax Basis'!$A$8:$A$87,0))="Nondepreciable land",0,INDEX('Tax Basis'!$H$8:$H$87,MATCH($A13,'Tax Basis'!$A$8:$A$87,0))),0)</f>
        <v/>
      </c>
      <c r="H13" s="8" t="n">
        <v>59785.16</v>
      </c>
      <c r="I13" s="8" t="n">
        <v>3816.07</v>
      </c>
      <c r="J13" s="8">
        <f>MIN(G13,H13+I13)</f>
        <v/>
      </c>
      <c r="K13" s="8">
        <f>G13-J13</f>
        <v/>
      </c>
      <c r="L13" s="4" t="inlineStr">
        <is>
          <t>Section 1245</t>
        </is>
      </c>
      <c r="M13" s="4">
        <f>IF(AND(J13&lt;=G13,K13&gt;=0),"OK","CHECK")</f>
        <v/>
      </c>
    </row>
    <row r="14">
      <c r="A14" s="22">
        <f>'Tax Basis'!A14</f>
        <v/>
      </c>
      <c r="B14" s="22">
        <f>IFERROR(INDEX('Tax Basis'!$B$8:$B$87,MATCH($A14,'Tax Basis'!$A$8:$A$87,0)),"Review-only vintage split")</f>
        <v/>
      </c>
      <c r="C14" s="23">
        <f>IFERROR(INDEX('Tax Basis'!$D$8:$D$87,MATCH($A14,'Tax Basis'!$A$8:$A$87,0)),Sale_Date)</f>
        <v/>
      </c>
      <c r="D14" s="4" t="n">
        <v>15</v>
      </c>
      <c r="E14" s="4" t="inlineStr">
        <is>
          <t>SL</t>
        </is>
      </c>
      <c r="F14" s="4" t="inlineStr">
        <is>
          <t>Mid-month</t>
        </is>
      </c>
      <c r="G14" s="6">
        <f>IFERROR(IF(INDEX('Tax Basis'!$C$8:$C$87,MATCH($A14,'Tax Basis'!$A$8:$A$87,0))="Nondepreciable land",0,INDEX('Tax Basis'!$H$8:$H$87,MATCH($A14,'Tax Basis'!$A$8:$A$87,0))),0)</f>
        <v/>
      </c>
      <c r="H14" s="8" t="n">
        <v>49214.85</v>
      </c>
      <c r="I14" s="8" t="n">
        <v>3141.37</v>
      </c>
      <c r="J14" s="8">
        <f>MIN(G14,H14+I14)</f>
        <v/>
      </c>
      <c r="K14" s="8">
        <f>G14-J14</f>
        <v/>
      </c>
      <c r="L14" s="4" t="inlineStr">
        <is>
          <t>Section 1250</t>
        </is>
      </c>
      <c r="M14" s="4">
        <f>IF(AND(J14&lt;=G14,K14&gt;=0),"OK","CHECK")</f>
        <v/>
      </c>
    </row>
    <row r="15">
      <c r="A15" s="22">
        <f>'Tax Basis'!A15</f>
        <v/>
      </c>
      <c r="B15" s="22">
        <f>IFERROR(INDEX('Tax Basis'!$B$8:$B$87,MATCH($A15,'Tax Basis'!$A$8:$A$87,0)),"Review-only vintage split")</f>
        <v/>
      </c>
      <c r="C15" s="23">
        <f>IFERROR(INDEX('Tax Basis'!$D$8:$D$87,MATCH($A15,'Tax Basis'!$A$8:$A$87,0)),Sale_Date)</f>
        <v/>
      </c>
      <c r="D15" s="4" t="n">
        <v>15</v>
      </c>
      <c r="E15" s="4" t="inlineStr">
        <is>
          <t>SL</t>
        </is>
      </c>
      <c r="F15" s="4" t="inlineStr">
        <is>
          <t>Mid-month</t>
        </is>
      </c>
      <c r="G15" s="6">
        <f>IFERROR(IF(INDEX('Tax Basis'!$C$8:$C$87,MATCH($A15,'Tax Basis'!$A$8:$A$87,0))="Nondepreciable land",0,INDEX('Tax Basis'!$H$8:$H$87,MATCH($A15,'Tax Basis'!$A$8:$A$87,0))),0)</f>
        <v/>
      </c>
      <c r="H15" s="8" t="n">
        <v>248534.67</v>
      </c>
      <c r="I15" s="8" t="n">
        <v>15863.91</v>
      </c>
      <c r="J15" s="8">
        <f>MIN(G15,H15+I15)</f>
        <v/>
      </c>
      <c r="K15" s="8">
        <f>G15-J15</f>
        <v/>
      </c>
      <c r="L15" s="4" t="inlineStr">
        <is>
          <t>Section 1250</t>
        </is>
      </c>
      <c r="M15" s="4">
        <f>IF(AND(J15&lt;=G15,K15&gt;=0),"OK","CHECK")</f>
        <v/>
      </c>
    </row>
    <row r="16">
      <c r="A16" s="22">
        <f>'Tax Basis'!A16</f>
        <v/>
      </c>
      <c r="B16" s="22">
        <f>IFERROR(INDEX('Tax Basis'!$B$8:$B$87,MATCH($A16,'Tax Basis'!$A$8:$A$87,0)),"Review-only vintage split")</f>
        <v/>
      </c>
      <c r="C16" s="23">
        <f>IFERROR(INDEX('Tax Basis'!$D$8:$D$87,MATCH($A16,'Tax Basis'!$A$8:$A$87,0)),Sale_Date)</f>
        <v/>
      </c>
      <c r="D16" s="4" t="n">
        <v>7</v>
      </c>
      <c r="E16" s="4" t="inlineStr">
        <is>
          <t>200% DB</t>
        </is>
      </c>
      <c r="F16" s="4" t="inlineStr">
        <is>
          <t>Mid-quarter</t>
        </is>
      </c>
      <c r="G16" s="6">
        <f>IFERROR(IF(INDEX('Tax Basis'!$C$8:$C$87,MATCH($A16,'Tax Basis'!$A$8:$A$87,0))="Nondepreciable land",0,INDEX('Tax Basis'!$H$8:$H$87,MATCH($A16,'Tax Basis'!$A$8:$A$87,0))),0)</f>
        <v/>
      </c>
      <c r="H16" s="8" t="n">
        <v>20768.44</v>
      </c>
      <c r="I16" s="8" t="n">
        <v>1325.64</v>
      </c>
      <c r="J16" s="8">
        <f>MIN(G16,H16+I16)</f>
        <v/>
      </c>
      <c r="K16" s="8">
        <f>G16-J16</f>
        <v/>
      </c>
      <c r="L16" s="4" t="inlineStr">
        <is>
          <t>Section 1245</t>
        </is>
      </c>
      <c r="M16" s="4">
        <f>IF(AND(J16&lt;=G16,K16&gt;=0),"OK","CHECK")</f>
        <v/>
      </c>
    </row>
    <row r="17">
      <c r="A17" s="22">
        <f>'Tax Basis'!A17</f>
        <v/>
      </c>
      <c r="B17" s="22">
        <f>IFERROR(INDEX('Tax Basis'!$B$8:$B$87,MATCH($A17,'Tax Basis'!$A$8:$A$87,0)),"Review-only vintage split")</f>
        <v/>
      </c>
      <c r="C17" s="23">
        <f>IFERROR(INDEX('Tax Basis'!$D$8:$D$87,MATCH($A17,'Tax Basis'!$A$8:$A$87,0)),Sale_Date)</f>
        <v/>
      </c>
      <c r="D17" s="4" t="n">
        <v>15</v>
      </c>
      <c r="E17" s="4" t="inlineStr">
        <is>
          <t>SL</t>
        </is>
      </c>
      <c r="F17" s="4" t="inlineStr">
        <is>
          <t>Mid-month</t>
        </is>
      </c>
      <c r="G17" s="6">
        <f>IFERROR(IF(INDEX('Tax Basis'!$C$8:$C$87,MATCH($A17,'Tax Basis'!$A$8:$A$87,0))="Nondepreciable land",0,INDEX('Tax Basis'!$H$8:$H$87,MATCH($A17,'Tax Basis'!$A$8:$A$87,0))),0)</f>
        <v/>
      </c>
      <c r="H17" s="8" t="n">
        <v>116511.23</v>
      </c>
      <c r="I17" s="8" t="n">
        <v>7436.89</v>
      </c>
      <c r="J17" s="8">
        <f>MIN(G17,H17+I17)</f>
        <v/>
      </c>
      <c r="K17" s="8">
        <f>G17-J17</f>
        <v/>
      </c>
      <c r="L17" s="4" t="inlineStr">
        <is>
          <t>Section 1250</t>
        </is>
      </c>
      <c r="M17" s="4">
        <f>IF(AND(J17&lt;=G17,K17&gt;=0),"OK","CHECK")</f>
        <v/>
      </c>
    </row>
    <row r="18">
      <c r="A18" s="22">
        <f>'Tax Basis'!A18</f>
        <v/>
      </c>
      <c r="B18" s="22">
        <f>IFERROR(INDEX('Tax Basis'!$B$8:$B$87,MATCH($A18,'Tax Basis'!$A$8:$A$87,0)),"Review-only vintage split")</f>
        <v/>
      </c>
      <c r="C18" s="23">
        <f>IFERROR(INDEX('Tax Basis'!$D$8:$D$87,MATCH($A18,'Tax Basis'!$A$8:$A$87,0)),Sale_Date)</f>
        <v/>
      </c>
      <c r="D18" s="4" t="n">
        <v>5</v>
      </c>
      <c r="E18" s="4" t="inlineStr">
        <is>
          <t>200% DB</t>
        </is>
      </c>
      <c r="F18" s="4" t="inlineStr">
        <is>
          <t>Mid-quarter</t>
        </is>
      </c>
      <c r="G18" s="6">
        <f>IFERROR(IF(INDEX('Tax Basis'!$C$8:$C$87,MATCH($A18,'Tax Basis'!$A$8:$A$87,0))="Nondepreciable land",0,INDEX('Tax Basis'!$H$8:$H$87,MATCH($A18,'Tax Basis'!$A$8:$A$87,0))),0)</f>
        <v/>
      </c>
      <c r="H18" s="8" t="n">
        <v>25559.31</v>
      </c>
      <c r="I18" s="8" t="n">
        <v>1631.45</v>
      </c>
      <c r="J18" s="8">
        <f>MIN(G18,H18+I18)</f>
        <v/>
      </c>
      <c r="K18" s="8">
        <f>G18-J18</f>
        <v/>
      </c>
      <c r="L18" s="4" t="inlineStr">
        <is>
          <t>Section 1245</t>
        </is>
      </c>
      <c r="M18" s="4">
        <f>IF(AND(J18&lt;=G18,K18&gt;=0),"OK","CHECK")</f>
        <v/>
      </c>
    </row>
    <row r="19">
      <c r="A19" s="22">
        <f>'Tax Basis'!A19</f>
        <v/>
      </c>
      <c r="B19" s="22">
        <f>IFERROR(INDEX('Tax Basis'!$B$8:$B$87,MATCH($A19,'Tax Basis'!$A$8:$A$87,0)),"Review-only vintage split")</f>
        <v/>
      </c>
      <c r="C19" s="23">
        <f>IFERROR(INDEX('Tax Basis'!$D$8:$D$87,MATCH($A19,'Tax Basis'!$A$8:$A$87,0)),Sale_Date)</f>
        <v/>
      </c>
      <c r="D19" s="4" t="n">
        <v>39</v>
      </c>
      <c r="E19" s="4" t="inlineStr">
        <is>
          <t>SL</t>
        </is>
      </c>
      <c r="F19" s="4" t="inlineStr">
        <is>
          <t>Mid-month</t>
        </is>
      </c>
      <c r="G19" s="6">
        <f>IFERROR(IF(INDEX('Tax Basis'!$C$8:$C$87,MATCH($A19,'Tax Basis'!$A$8:$A$87,0))="Nondepreciable land",0,INDEX('Tax Basis'!$H$8:$H$87,MATCH($A19,'Tax Basis'!$A$8:$A$87,0))),0)</f>
        <v/>
      </c>
      <c r="H19" s="8" t="n">
        <v>172605.11</v>
      </c>
      <c r="I19" s="8" t="n">
        <v>11017.35</v>
      </c>
      <c r="J19" s="8">
        <f>MIN(G19,H19+I19)</f>
        <v/>
      </c>
      <c r="K19" s="8">
        <f>G19-J19</f>
        <v/>
      </c>
      <c r="L19" s="4" t="inlineStr">
        <is>
          <t>Section 1250</t>
        </is>
      </c>
      <c r="M19" s="4">
        <f>IF(AND(J19&lt;=G19,K19&gt;=0),"OK","CHECK")</f>
        <v/>
      </c>
    </row>
    <row r="20">
      <c r="A20" s="22">
        <f>'Tax Basis'!A20</f>
        <v/>
      </c>
      <c r="B20" s="22">
        <f>IFERROR(INDEX('Tax Basis'!$B$8:$B$87,MATCH($A20,'Tax Basis'!$A$8:$A$87,0)),"Review-only vintage split")</f>
        <v/>
      </c>
      <c r="C20" s="23">
        <f>IFERROR(INDEX('Tax Basis'!$D$8:$D$87,MATCH($A20,'Tax Basis'!$A$8:$A$87,0)),Sale_Date)</f>
        <v/>
      </c>
      <c r="D20" s="4" t="n">
        <v>39</v>
      </c>
      <c r="E20" s="4" t="inlineStr">
        <is>
          <t>SL</t>
        </is>
      </c>
      <c r="F20" s="4" t="inlineStr">
        <is>
          <t>Mid-month</t>
        </is>
      </c>
      <c r="G20" s="6">
        <f>IFERROR(IF(INDEX('Tax Basis'!$C$8:$C$87,MATCH($A20,'Tax Basis'!$A$8:$A$87,0))="Nondepreciable land",0,INDEX('Tax Basis'!$H$8:$H$87,MATCH($A20,'Tax Basis'!$A$8:$A$87,0))),0)</f>
        <v/>
      </c>
      <c r="H20" s="8" t="n">
        <v>7613.33</v>
      </c>
      <c r="I20" s="8" t="n">
        <v>485.96</v>
      </c>
      <c r="J20" s="8">
        <f>MIN(G20,H20+I20)</f>
        <v/>
      </c>
      <c r="K20" s="8">
        <f>G20-J20</f>
        <v/>
      </c>
      <c r="L20" s="4" t="inlineStr">
        <is>
          <t>Section 1250</t>
        </is>
      </c>
      <c r="M20" s="4">
        <f>IF(AND(J20&lt;=G20,K20&gt;=0),"OK","CHECK")</f>
        <v/>
      </c>
    </row>
    <row r="21">
      <c r="A21" s="22">
        <f>'Tax Basis'!A21</f>
        <v/>
      </c>
      <c r="B21" s="22">
        <f>IFERROR(INDEX('Tax Basis'!$B$8:$B$87,MATCH($A21,'Tax Basis'!$A$8:$A$87,0)),"Review-only vintage split")</f>
        <v/>
      </c>
      <c r="C21" s="23">
        <f>IFERROR(INDEX('Tax Basis'!$D$8:$D$87,MATCH($A21,'Tax Basis'!$A$8:$A$87,0)),Sale_Date)</f>
        <v/>
      </c>
      <c r="D21" s="4" t="n">
        <v>15</v>
      </c>
      <c r="E21" s="4" t="inlineStr">
        <is>
          <t>SL</t>
        </is>
      </c>
      <c r="F21" s="4" t="inlineStr">
        <is>
          <t>Mid-month</t>
        </is>
      </c>
      <c r="G21" s="6">
        <f>IFERROR(IF(INDEX('Tax Basis'!$C$8:$C$87,MATCH($A21,'Tax Basis'!$A$8:$A$87,0))="Nondepreciable land",0,INDEX('Tax Basis'!$H$8:$H$87,MATCH($A21,'Tax Basis'!$A$8:$A$87,0))),0)</f>
        <v/>
      </c>
      <c r="H21" s="8" t="n">
        <v>12570.93</v>
      </c>
      <c r="I21" s="8" t="n">
        <v>802.4</v>
      </c>
      <c r="J21" s="8">
        <f>MIN(G21,H21+I21)</f>
        <v/>
      </c>
      <c r="K21" s="8">
        <f>G21-J21</f>
        <v/>
      </c>
      <c r="L21" s="4" t="inlineStr">
        <is>
          <t>Section 1250</t>
        </is>
      </c>
      <c r="M21" s="4">
        <f>IF(AND(J21&lt;=G21,K21&gt;=0),"OK","CHECK")</f>
        <v/>
      </c>
    </row>
    <row r="22">
      <c r="A22" s="22">
        <f>'Tax Basis'!A22</f>
        <v/>
      </c>
      <c r="B22" s="22">
        <f>IFERROR(INDEX('Tax Basis'!$B$8:$B$87,MATCH($A22,'Tax Basis'!$A$8:$A$87,0)),"Review-only vintage split")</f>
        <v/>
      </c>
      <c r="C22" s="23">
        <f>IFERROR(INDEX('Tax Basis'!$D$8:$D$87,MATCH($A22,'Tax Basis'!$A$8:$A$87,0)),Sale_Date)</f>
        <v/>
      </c>
      <c r="D22" s="4" t="n">
        <v>7</v>
      </c>
      <c r="E22" s="4" t="inlineStr">
        <is>
          <t>200% DB</t>
        </is>
      </c>
      <c r="F22" s="4" t="inlineStr">
        <is>
          <t>Mid-quarter</t>
        </is>
      </c>
      <c r="G22" s="6">
        <f>IFERROR(IF(INDEX('Tax Basis'!$C$8:$C$87,MATCH($A22,'Tax Basis'!$A$8:$A$87,0))="Nondepreciable land",0,INDEX('Tax Basis'!$H$8:$H$87,MATCH($A22,'Tax Basis'!$A$8:$A$87,0))),0)</f>
        <v/>
      </c>
      <c r="H22" s="8" t="n">
        <v>17528.52</v>
      </c>
      <c r="I22" s="8" t="n">
        <v>1118.84</v>
      </c>
      <c r="J22" s="8">
        <f>MIN(G22,H22+I22)</f>
        <v/>
      </c>
      <c r="K22" s="8">
        <f>G22-J22</f>
        <v/>
      </c>
      <c r="L22" s="4" t="inlineStr">
        <is>
          <t>Section 1245</t>
        </is>
      </c>
      <c r="M22" s="4">
        <f>IF(AND(J22&lt;=G22,K22&gt;=0),"OK","CHECK")</f>
        <v/>
      </c>
    </row>
    <row r="23">
      <c r="A23" s="22">
        <f>'Tax Basis'!A23</f>
        <v/>
      </c>
      <c r="B23" s="22">
        <f>IFERROR(INDEX('Tax Basis'!$B$8:$B$87,MATCH($A23,'Tax Basis'!$A$8:$A$87,0)),"Review-only vintage split")</f>
        <v/>
      </c>
      <c r="C23" s="23">
        <f>IFERROR(INDEX('Tax Basis'!$D$8:$D$87,MATCH($A23,'Tax Basis'!$A$8:$A$87,0)),Sale_Date)</f>
        <v/>
      </c>
      <c r="D23" s="4" t="n">
        <v>5</v>
      </c>
      <c r="E23" s="4" t="inlineStr">
        <is>
          <t>150% DB</t>
        </is>
      </c>
      <c r="F23" s="4" t="inlineStr">
        <is>
          <t>Half-year</t>
        </is>
      </c>
      <c r="G23" s="6">
        <f>IFERROR(IF(INDEX('Tax Basis'!$C$8:$C$87,MATCH($A23,'Tax Basis'!$A$8:$A$87,0))="Nondepreciable land",0,INDEX('Tax Basis'!$H$8:$H$87,MATCH($A23,'Tax Basis'!$A$8:$A$87,0))),0)</f>
        <v/>
      </c>
      <c r="H23" s="8" t="n">
        <v>22486.12</v>
      </c>
      <c r="I23" s="8" t="n">
        <v>1435.28</v>
      </c>
      <c r="J23" s="8">
        <f>MIN(G23,H23+I23)</f>
        <v/>
      </c>
      <c r="K23" s="8">
        <f>G23-J23</f>
        <v/>
      </c>
      <c r="L23" s="4" t="inlineStr">
        <is>
          <t>Section 1245</t>
        </is>
      </c>
      <c r="M23" s="4">
        <f>IF(AND(J23&lt;=G23,K23&gt;=0),"OK","CHECK")</f>
        <v/>
      </c>
    </row>
    <row r="24">
      <c r="A24" s="22">
        <f>'Tax Basis'!A24</f>
        <v/>
      </c>
      <c r="B24" s="22">
        <f>IFERROR(INDEX('Tax Basis'!$B$8:$B$87,MATCH($A24,'Tax Basis'!$A$8:$A$87,0)),"Review-only vintage split")</f>
        <v/>
      </c>
      <c r="C24" s="23">
        <f>IFERROR(INDEX('Tax Basis'!$D$8:$D$87,MATCH($A24,'Tax Basis'!$A$8:$A$87,0)),Sale_Date)</f>
        <v/>
      </c>
      <c r="D24" s="4" t="n">
        <v>39</v>
      </c>
      <c r="E24" s="4" t="inlineStr">
        <is>
          <t>SL</t>
        </is>
      </c>
      <c r="F24" s="4" t="inlineStr">
        <is>
          <t>Mid-month</t>
        </is>
      </c>
      <c r="G24" s="6">
        <f>IFERROR(IF(INDEX('Tax Basis'!$C$8:$C$87,MATCH($A24,'Tax Basis'!$A$8:$A$87,0))="Nondepreciable land",0,INDEX('Tax Basis'!$H$8:$H$87,MATCH($A24,'Tax Basis'!$A$8:$A$87,0))),0)</f>
        <v/>
      </c>
      <c r="H24" s="8" t="n">
        <v>27443.71</v>
      </c>
      <c r="I24" s="8" t="n">
        <v>1751.73</v>
      </c>
      <c r="J24" s="8">
        <f>MIN(G24,H24+I24)</f>
        <v/>
      </c>
      <c r="K24" s="8">
        <f>G24-J24</f>
        <v/>
      </c>
      <c r="L24" s="4" t="inlineStr">
        <is>
          <t>Section 1250</t>
        </is>
      </c>
      <c r="M24" s="4">
        <f>IF(AND(J24&lt;=G24,K24&gt;=0),"OK","CHECK")</f>
        <v/>
      </c>
    </row>
    <row r="25">
      <c r="A25" s="22">
        <f>'Tax Basis'!A25</f>
        <v/>
      </c>
      <c r="B25" s="22">
        <f>IFERROR(INDEX('Tax Basis'!$B$8:$B$87,MATCH($A25,'Tax Basis'!$A$8:$A$87,0)),"Review-only vintage split")</f>
        <v/>
      </c>
      <c r="C25" s="23">
        <f>IFERROR(INDEX('Tax Basis'!$D$8:$D$87,MATCH($A25,'Tax Basis'!$A$8:$A$87,0)),Sale_Date)</f>
        <v/>
      </c>
      <c r="D25" s="4" t="n">
        <v>15</v>
      </c>
      <c r="E25" s="4" t="inlineStr">
        <is>
          <t>SL</t>
        </is>
      </c>
      <c r="F25" s="4" t="inlineStr">
        <is>
          <t>Mid-month</t>
        </is>
      </c>
      <c r="G25" s="6">
        <f>IFERROR(IF(INDEX('Tax Basis'!$C$8:$C$87,MATCH($A25,'Tax Basis'!$A$8:$A$87,0))="Nondepreciable land",0,INDEX('Tax Basis'!$H$8:$H$87,MATCH($A25,'Tax Basis'!$A$8:$A$87,0))),0)</f>
        <v/>
      </c>
      <c r="H25" s="8" t="n">
        <v>32401.31</v>
      </c>
      <c r="I25" s="8" t="n">
        <v>2068.17</v>
      </c>
      <c r="J25" s="8">
        <f>MIN(G25,H25+I25)</f>
        <v/>
      </c>
      <c r="K25" s="8">
        <f>G25-J25</f>
        <v/>
      </c>
      <c r="L25" s="4" t="inlineStr">
        <is>
          <t>Section 1250</t>
        </is>
      </c>
      <c r="M25" s="4">
        <f>IF(AND(J25&lt;=G25,K25&gt;=0),"OK","CHECK")</f>
        <v/>
      </c>
    </row>
    <row r="26">
      <c r="A26" s="22">
        <f>'Tax Basis'!A26</f>
        <v/>
      </c>
      <c r="B26" s="22">
        <f>IFERROR(INDEX('Tax Basis'!$B$8:$B$87,MATCH($A26,'Tax Basis'!$A$8:$A$87,0)),"Review-only vintage split")</f>
        <v/>
      </c>
      <c r="C26" s="23">
        <f>IFERROR(INDEX('Tax Basis'!$D$8:$D$87,MATCH($A26,'Tax Basis'!$A$8:$A$87,0)),Sale_Date)</f>
        <v/>
      </c>
      <c r="D26" s="4" t="n">
        <v>7</v>
      </c>
      <c r="E26" s="4" t="inlineStr">
        <is>
          <t>150% DB</t>
        </is>
      </c>
      <c r="F26" s="4" t="inlineStr">
        <is>
          <t>Mid-quarter</t>
        </is>
      </c>
      <c r="G26" s="6">
        <f>IFERROR(IF(INDEX('Tax Basis'!$C$8:$C$87,MATCH($A26,'Tax Basis'!$A$8:$A$87,0))="Nondepreciable land",0,INDEX('Tax Basis'!$H$8:$H$87,MATCH($A26,'Tax Basis'!$A$8:$A$87,0))),0)</f>
        <v/>
      </c>
      <c r="H26" s="8" t="n">
        <v>37358.91</v>
      </c>
      <c r="I26" s="8" t="n">
        <v>2384.61</v>
      </c>
      <c r="J26" s="8">
        <f>MIN(G26,H26+I26)</f>
        <v/>
      </c>
      <c r="K26" s="8">
        <f>G26-J26</f>
        <v/>
      </c>
      <c r="L26" s="4" t="inlineStr">
        <is>
          <t>Section 1245</t>
        </is>
      </c>
      <c r="M26" s="4">
        <f>IF(AND(J26&lt;=G26,K26&gt;=0),"OK","CHECK")</f>
        <v/>
      </c>
    </row>
    <row r="27">
      <c r="A27" s="22">
        <f>'Tax Basis'!A27</f>
        <v/>
      </c>
      <c r="B27" s="22">
        <f>IFERROR(INDEX('Tax Basis'!$B$8:$B$87,MATCH($A27,'Tax Basis'!$A$8:$A$87,0)),"Review-only vintage split")</f>
        <v/>
      </c>
      <c r="C27" s="23">
        <f>IFERROR(INDEX('Tax Basis'!$D$8:$D$87,MATCH($A27,'Tax Basis'!$A$8:$A$87,0)),Sale_Date)</f>
        <v/>
      </c>
      <c r="D27" s="4" t="n">
        <v>5</v>
      </c>
      <c r="E27" s="4" t="inlineStr">
        <is>
          <t>200% DB</t>
        </is>
      </c>
      <c r="F27" s="4" t="inlineStr">
        <is>
          <t>Half-year</t>
        </is>
      </c>
      <c r="G27" s="6">
        <f>IFERROR(IF(INDEX('Tax Basis'!$C$8:$C$87,MATCH($A27,'Tax Basis'!$A$8:$A$87,0))="Nondepreciable land",0,INDEX('Tax Basis'!$H$8:$H$87,MATCH($A27,'Tax Basis'!$A$8:$A$87,0))),0)</f>
        <v/>
      </c>
      <c r="H27" s="8" t="n">
        <v>41712.78</v>
      </c>
      <c r="I27" s="8" t="n">
        <v>2662.52</v>
      </c>
      <c r="J27" s="8">
        <f>MIN(G27,H27+I27)</f>
        <v/>
      </c>
      <c r="K27" s="8">
        <f>G27-J27</f>
        <v/>
      </c>
      <c r="L27" s="4" t="inlineStr">
        <is>
          <t>Section 1245</t>
        </is>
      </c>
      <c r="M27" s="4">
        <f>IF(AND(J27&lt;=G27,K27&gt;=0),"OK","CHECK")</f>
        <v/>
      </c>
    </row>
    <row r="28">
      <c r="A28" s="22">
        <f>'Tax Basis'!A28</f>
        <v/>
      </c>
      <c r="B28" s="22">
        <f>IFERROR(INDEX('Tax Basis'!$B$8:$B$87,MATCH($A28,'Tax Basis'!$A$8:$A$87,0)),"Review-only vintage split")</f>
        <v/>
      </c>
      <c r="C28" s="23">
        <f>IFERROR(INDEX('Tax Basis'!$D$8:$D$87,MATCH($A28,'Tax Basis'!$A$8:$A$87,0)),Sale_Date)</f>
        <v/>
      </c>
      <c r="D28" s="4" t="n">
        <v>39</v>
      </c>
      <c r="E28" s="4" t="inlineStr">
        <is>
          <t>SL</t>
        </is>
      </c>
      <c r="F28" s="4" t="inlineStr">
        <is>
          <t>Mid-month</t>
        </is>
      </c>
      <c r="G28" s="6">
        <f>IFERROR(IF(INDEX('Tax Basis'!$C$8:$C$87,MATCH($A28,'Tax Basis'!$A$8:$A$87,0))="Nondepreciable land",0,INDEX('Tax Basis'!$H$8:$H$87,MATCH($A28,'Tax Basis'!$A$8:$A$87,0))),0)</f>
        <v/>
      </c>
      <c r="H28" s="8" t="n">
        <v>47274.09</v>
      </c>
      <c r="I28" s="8" t="n">
        <v>3017.5</v>
      </c>
      <c r="J28" s="8">
        <f>MIN(G28,H28+I28)</f>
        <v/>
      </c>
      <c r="K28" s="8">
        <f>G28-J28</f>
        <v/>
      </c>
      <c r="L28" s="4" t="inlineStr">
        <is>
          <t>Section 1250</t>
        </is>
      </c>
      <c r="M28" s="4">
        <f>IF(AND(J28&lt;=G28,K28&gt;=0),"OK","CHECK")</f>
        <v/>
      </c>
    </row>
    <row r="29">
      <c r="A29" s="22">
        <f>'Tax Basis'!A29</f>
        <v/>
      </c>
      <c r="B29" s="22">
        <f>IFERROR(INDEX('Tax Basis'!$B$8:$B$87,MATCH($A29,'Tax Basis'!$A$8:$A$87,0)),"Review-only vintage split")</f>
        <v/>
      </c>
      <c r="C29" s="23">
        <f>IFERROR(INDEX('Tax Basis'!$D$8:$D$87,MATCH($A29,'Tax Basis'!$A$8:$A$87,0)),Sale_Date)</f>
        <v/>
      </c>
      <c r="D29" s="4" t="n">
        <v>15</v>
      </c>
      <c r="E29" s="4" t="inlineStr">
        <is>
          <t>SL</t>
        </is>
      </c>
      <c r="F29" s="4" t="inlineStr">
        <is>
          <t>Mid-month</t>
        </is>
      </c>
      <c r="G29" s="6">
        <f>IFERROR(IF(INDEX('Tax Basis'!$C$8:$C$87,MATCH($A29,'Tax Basis'!$A$8:$A$87,0))="Nondepreciable land",0,INDEX('Tax Basis'!$H$8:$H$87,MATCH($A29,'Tax Basis'!$A$8:$A$87,0))),0)</f>
        <v/>
      </c>
      <c r="H29" s="8" t="n">
        <v>52231.69</v>
      </c>
      <c r="I29" s="8" t="n">
        <v>3333.94</v>
      </c>
      <c r="J29" s="8">
        <f>MIN(G29,H29+I29)</f>
        <v/>
      </c>
      <c r="K29" s="8">
        <f>G29-J29</f>
        <v/>
      </c>
      <c r="L29" s="4" t="inlineStr">
        <is>
          <t>Section 1250</t>
        </is>
      </c>
      <c r="M29" s="4">
        <f>IF(AND(J29&lt;=G29,K29&gt;=0),"OK","CHECK")</f>
        <v/>
      </c>
    </row>
    <row r="30">
      <c r="A30" s="22">
        <f>'Tax Basis'!A30</f>
        <v/>
      </c>
      <c r="B30" s="22">
        <f>IFERROR(INDEX('Tax Basis'!$B$8:$B$87,MATCH($A30,'Tax Basis'!$A$8:$A$87,0)),"Review-only vintage split")</f>
        <v/>
      </c>
      <c r="C30" s="23">
        <f>IFERROR(INDEX('Tax Basis'!$D$8:$D$87,MATCH($A30,'Tax Basis'!$A$8:$A$87,0)),Sale_Date)</f>
        <v/>
      </c>
      <c r="D30" s="4" t="n">
        <v>7</v>
      </c>
      <c r="E30" s="4" t="inlineStr">
        <is>
          <t>200% DB</t>
        </is>
      </c>
      <c r="F30" s="4" t="inlineStr">
        <is>
          <t>Mid-quarter</t>
        </is>
      </c>
      <c r="G30" s="6">
        <f>IFERROR(IF(INDEX('Tax Basis'!$C$8:$C$87,MATCH($A30,'Tax Basis'!$A$8:$A$87,0))="Nondepreciable land",0,INDEX('Tax Basis'!$H$8:$H$87,MATCH($A30,'Tax Basis'!$A$8:$A$87,0))),0)</f>
        <v/>
      </c>
      <c r="H30" s="8" t="n">
        <v>57189.28</v>
      </c>
      <c r="I30" s="8" t="n">
        <v>3650.38</v>
      </c>
      <c r="J30" s="8">
        <f>MIN(G30,H30+I30)</f>
        <v/>
      </c>
      <c r="K30" s="8">
        <f>G30-J30</f>
        <v/>
      </c>
      <c r="L30" s="4" t="inlineStr">
        <is>
          <t>Section 1245</t>
        </is>
      </c>
      <c r="M30" s="4">
        <f>IF(AND(J30&lt;=G30,K30&gt;=0),"OK","CHECK")</f>
        <v/>
      </c>
    </row>
    <row r="31">
      <c r="A31" s="22">
        <f>'Tax Basis'!A31</f>
        <v/>
      </c>
      <c r="B31" s="22">
        <f>IFERROR(INDEX('Tax Basis'!$B$8:$B$87,MATCH($A31,'Tax Basis'!$A$8:$A$87,0)),"Review-only vintage split")</f>
        <v/>
      </c>
      <c r="C31" s="23">
        <f>IFERROR(INDEX('Tax Basis'!$D$8:$D$87,MATCH($A31,'Tax Basis'!$A$8:$A$87,0)),Sale_Date)</f>
        <v/>
      </c>
      <c r="D31" s="4" t="n">
        <v>5</v>
      </c>
      <c r="E31" s="4" t="inlineStr">
        <is>
          <t>200% DB</t>
        </is>
      </c>
      <c r="F31" s="4" t="inlineStr">
        <is>
          <t>Half-year</t>
        </is>
      </c>
      <c r="G31" s="6">
        <f>IFERROR(IF(INDEX('Tax Basis'!$C$8:$C$87,MATCH($A31,'Tax Basis'!$A$8:$A$87,0))="Nondepreciable land",0,INDEX('Tax Basis'!$H$8:$H$87,MATCH($A31,'Tax Basis'!$A$8:$A$87,0))),0)</f>
        <v/>
      </c>
      <c r="H31" s="8" t="n">
        <v>11844.51</v>
      </c>
      <c r="I31" s="8" t="n">
        <v>756.03</v>
      </c>
      <c r="J31" s="8">
        <f>MIN(G31,H31+I31)</f>
        <v/>
      </c>
      <c r="K31" s="8">
        <f>G31-J31</f>
        <v/>
      </c>
      <c r="L31" s="4" t="inlineStr">
        <is>
          <t>Section 1245</t>
        </is>
      </c>
      <c r="M31" s="4">
        <f>IF(AND(J31&lt;=G31,K31&gt;=0),"OK","CHECK")</f>
        <v/>
      </c>
    </row>
    <row r="32">
      <c r="A32" s="22">
        <f>'Tax Basis'!A32</f>
        <v/>
      </c>
      <c r="B32" s="22">
        <f>IFERROR(INDEX('Tax Basis'!$B$8:$B$87,MATCH($A32,'Tax Basis'!$A$8:$A$87,0)),"Review-only vintage split")</f>
        <v/>
      </c>
      <c r="C32" s="23">
        <f>IFERROR(INDEX('Tax Basis'!$D$8:$D$87,MATCH($A32,'Tax Basis'!$A$8:$A$87,0)),Sale_Date)</f>
        <v/>
      </c>
      <c r="D32" s="4" t="n">
        <v>39</v>
      </c>
      <c r="E32" s="4" t="inlineStr">
        <is>
          <t>SL</t>
        </is>
      </c>
      <c r="F32" s="4" t="inlineStr">
        <is>
          <t>Mid-month</t>
        </is>
      </c>
      <c r="G32" s="6">
        <f>IFERROR(IF(INDEX('Tax Basis'!$C$8:$C$87,MATCH($A32,'Tax Basis'!$A$8:$A$87,0))="Nondepreciable land",0,INDEX('Tax Basis'!$H$8:$H$87,MATCH($A32,'Tax Basis'!$A$8:$A$87,0))),0)</f>
        <v/>
      </c>
      <c r="H32" s="8" t="n">
        <v>16802.11</v>
      </c>
      <c r="I32" s="8" t="n">
        <v>1072.47</v>
      </c>
      <c r="J32" s="8">
        <f>MIN(G32,H32+I32)</f>
        <v/>
      </c>
      <c r="K32" s="8">
        <f>G32-J32</f>
        <v/>
      </c>
      <c r="L32" s="4" t="inlineStr">
        <is>
          <t>Section 1250</t>
        </is>
      </c>
      <c r="M32" s="4">
        <f>IF(AND(J32&lt;=G32,K32&gt;=0),"OK","CHECK")</f>
        <v/>
      </c>
    </row>
    <row r="33">
      <c r="A33" s="22">
        <f>'Tax Basis'!A33</f>
        <v/>
      </c>
      <c r="B33" s="22">
        <f>IFERROR(INDEX('Tax Basis'!$B$8:$B$87,MATCH($A33,'Tax Basis'!$A$8:$A$87,0)),"Review-only vintage split")</f>
        <v/>
      </c>
      <c r="C33" s="23">
        <f>IFERROR(INDEX('Tax Basis'!$D$8:$D$87,MATCH($A33,'Tax Basis'!$A$8:$A$87,0)),Sale_Date)</f>
        <v/>
      </c>
      <c r="D33" s="4" t="n">
        <v>15</v>
      </c>
      <c r="E33" s="4" t="inlineStr">
        <is>
          <t>SL</t>
        </is>
      </c>
      <c r="F33" s="4" t="inlineStr">
        <is>
          <t>Mid-month</t>
        </is>
      </c>
      <c r="G33" s="6">
        <f>IFERROR(IF(INDEX('Tax Basis'!$C$8:$C$87,MATCH($A33,'Tax Basis'!$A$8:$A$87,0))="Nondepreciable land",0,INDEX('Tax Basis'!$H$8:$H$87,MATCH($A33,'Tax Basis'!$A$8:$A$87,0))),0)</f>
        <v/>
      </c>
      <c r="H33" s="8" t="n">
        <v>21759.69</v>
      </c>
      <c r="I33" s="8" t="n">
        <v>1388.92</v>
      </c>
      <c r="J33" s="8">
        <f>MIN(G33,H33+I33)</f>
        <v/>
      </c>
      <c r="K33" s="8">
        <f>G33-J33</f>
        <v/>
      </c>
      <c r="L33" s="4" t="inlineStr">
        <is>
          <t>Section 1250</t>
        </is>
      </c>
      <c r="M33" s="4">
        <f>IF(AND(J33&lt;=G33,K33&gt;=0),"OK","CHECK")</f>
        <v/>
      </c>
    </row>
    <row r="34">
      <c r="A34" s="22">
        <f>'Tax Basis'!A34</f>
        <v/>
      </c>
      <c r="B34" s="22">
        <f>IFERROR(INDEX('Tax Basis'!$B$8:$B$87,MATCH($A34,'Tax Basis'!$A$8:$A$87,0)),"Review-only vintage split")</f>
        <v/>
      </c>
      <c r="C34" s="23">
        <f>IFERROR(INDEX('Tax Basis'!$D$8:$D$87,MATCH($A34,'Tax Basis'!$A$8:$A$87,0)),Sale_Date)</f>
        <v/>
      </c>
      <c r="D34" s="4" t="n">
        <v>7</v>
      </c>
      <c r="E34" s="4" t="inlineStr">
        <is>
          <t>200% DB</t>
        </is>
      </c>
      <c r="F34" s="4" t="inlineStr">
        <is>
          <t>Mid-quarter</t>
        </is>
      </c>
      <c r="G34" s="6">
        <f>IFERROR(IF(INDEX('Tax Basis'!$C$8:$C$87,MATCH($A34,'Tax Basis'!$A$8:$A$87,0))="Nondepreciable land",0,INDEX('Tax Basis'!$H$8:$H$87,MATCH($A34,'Tax Basis'!$A$8:$A$87,0))),0)</f>
        <v/>
      </c>
      <c r="H34" s="8" t="n">
        <v>26717.29</v>
      </c>
      <c r="I34" s="8" t="n">
        <v>1705.36</v>
      </c>
      <c r="J34" s="8">
        <f>MIN(G34,H34+I34)</f>
        <v/>
      </c>
      <c r="K34" s="8">
        <f>G34-J34</f>
        <v/>
      </c>
      <c r="L34" s="4" t="inlineStr">
        <is>
          <t>Section 1245</t>
        </is>
      </c>
      <c r="M34" s="4">
        <f>IF(AND(J34&lt;=G34,K34&gt;=0),"OK","CHECK")</f>
        <v/>
      </c>
    </row>
    <row r="35">
      <c r="A35" s="22">
        <f>'Tax Basis'!A35</f>
        <v/>
      </c>
      <c r="B35" s="22">
        <f>IFERROR(INDEX('Tax Basis'!$B$8:$B$87,MATCH($A35,'Tax Basis'!$A$8:$A$87,0)),"Review-only vintage split")</f>
        <v/>
      </c>
      <c r="C35" s="23">
        <f>IFERROR(INDEX('Tax Basis'!$D$8:$D$87,MATCH($A35,'Tax Basis'!$A$8:$A$87,0)),Sale_Date)</f>
        <v/>
      </c>
      <c r="D35" s="4" t="n">
        <v>5</v>
      </c>
      <c r="E35" s="4" t="inlineStr">
        <is>
          <t>150% DB</t>
        </is>
      </c>
      <c r="F35" s="4" t="inlineStr">
        <is>
          <t>Half-year</t>
        </is>
      </c>
      <c r="G35" s="6">
        <f>IFERROR(IF(INDEX('Tax Basis'!$C$8:$C$87,MATCH($A35,'Tax Basis'!$A$8:$A$87,0))="Nondepreciable land",0,INDEX('Tax Basis'!$H$8:$H$87,MATCH($A35,'Tax Basis'!$A$8:$A$87,0))),0)</f>
        <v/>
      </c>
      <c r="H35" s="8" t="n">
        <v>31674.89</v>
      </c>
      <c r="I35" s="8" t="n">
        <v>2021.8</v>
      </c>
      <c r="J35" s="8">
        <f>MIN(G35,H35+I35)</f>
        <v/>
      </c>
      <c r="K35" s="8">
        <f>G35-J35</f>
        <v/>
      </c>
      <c r="L35" s="4" t="inlineStr">
        <is>
          <t>Section 1245</t>
        </is>
      </c>
      <c r="M35" s="4">
        <f>IF(AND(J35&lt;=G35,K35&gt;=0),"OK","CHECK")</f>
        <v/>
      </c>
    </row>
    <row r="36">
      <c r="A36" s="22">
        <f>'Tax Basis'!A36</f>
        <v/>
      </c>
      <c r="B36" s="22">
        <f>IFERROR(INDEX('Tax Basis'!$B$8:$B$87,MATCH($A36,'Tax Basis'!$A$8:$A$87,0)),"Review-only vintage split")</f>
        <v/>
      </c>
      <c r="C36" s="23">
        <f>IFERROR(INDEX('Tax Basis'!$D$8:$D$87,MATCH($A36,'Tax Basis'!$A$8:$A$87,0)),Sale_Date)</f>
        <v/>
      </c>
      <c r="D36" s="4" t="n">
        <v>39</v>
      </c>
      <c r="E36" s="4" t="inlineStr">
        <is>
          <t>SL</t>
        </is>
      </c>
      <c r="F36" s="4" t="inlineStr">
        <is>
          <t>Mid-month</t>
        </is>
      </c>
      <c r="G36" s="6">
        <f>IFERROR(IF(INDEX('Tax Basis'!$C$8:$C$87,MATCH($A36,'Tax Basis'!$A$8:$A$87,0))="Nondepreciable land",0,INDEX('Tax Basis'!$H$8:$H$87,MATCH($A36,'Tax Basis'!$A$8:$A$87,0))),0)</f>
        <v/>
      </c>
      <c r="H36" s="8" t="n">
        <v>36632.49</v>
      </c>
      <c r="I36" s="8" t="n">
        <v>2338.24</v>
      </c>
      <c r="J36" s="8">
        <f>MIN(G36,H36+I36)</f>
        <v/>
      </c>
      <c r="K36" s="8">
        <f>G36-J36</f>
        <v/>
      </c>
      <c r="L36" s="4" t="inlineStr">
        <is>
          <t>Section 1250</t>
        </is>
      </c>
      <c r="M36" s="4">
        <f>IF(AND(J36&lt;=G36,K36&gt;=0),"OK","CHECK")</f>
        <v/>
      </c>
    </row>
    <row r="37">
      <c r="A37" s="22">
        <f>'Tax Basis'!A37</f>
        <v/>
      </c>
      <c r="B37" s="22">
        <f>IFERROR(INDEX('Tax Basis'!$B$8:$B$87,MATCH($A37,'Tax Basis'!$A$8:$A$87,0)),"Review-only vintage split")</f>
        <v/>
      </c>
      <c r="C37" s="23">
        <f>IFERROR(INDEX('Tax Basis'!$D$8:$D$87,MATCH($A37,'Tax Basis'!$A$8:$A$87,0)),Sale_Date)</f>
        <v/>
      </c>
      <c r="D37" s="4" t="n">
        <v>15</v>
      </c>
      <c r="E37" s="4" t="inlineStr">
        <is>
          <t>SL</t>
        </is>
      </c>
      <c r="F37" s="4" t="inlineStr">
        <is>
          <t>Mid-month</t>
        </is>
      </c>
      <c r="G37" s="6">
        <f>IFERROR(IF(INDEX('Tax Basis'!$C$8:$C$87,MATCH($A37,'Tax Basis'!$A$8:$A$87,0))="Nondepreciable land",0,INDEX('Tax Basis'!$H$8:$H$87,MATCH($A37,'Tax Basis'!$A$8:$A$87,0))),0)</f>
        <v/>
      </c>
      <c r="H37" s="8" t="n">
        <v>41590.07</v>
      </c>
      <c r="I37" s="8" t="n">
        <v>2654.69</v>
      </c>
      <c r="J37" s="8">
        <f>MIN(G37,H37+I37)</f>
        <v/>
      </c>
      <c r="K37" s="8">
        <f>G37-J37</f>
        <v/>
      </c>
      <c r="L37" s="4" t="inlineStr">
        <is>
          <t>Section 1250</t>
        </is>
      </c>
      <c r="M37" s="4">
        <f>IF(AND(J37&lt;=G37,K37&gt;=0),"OK","CHECK")</f>
        <v/>
      </c>
    </row>
    <row r="38">
      <c r="A38" s="22">
        <f>'Tax Basis'!A38</f>
        <v/>
      </c>
      <c r="B38" s="22">
        <f>IFERROR(INDEX('Tax Basis'!$B$8:$B$87,MATCH($A38,'Tax Basis'!$A$8:$A$87,0)),"Review-only vintage split")</f>
        <v/>
      </c>
      <c r="C38" s="23">
        <f>IFERROR(INDEX('Tax Basis'!$D$8:$D$87,MATCH($A38,'Tax Basis'!$A$8:$A$87,0)),Sale_Date)</f>
        <v/>
      </c>
      <c r="D38" s="4" t="n">
        <v>7</v>
      </c>
      <c r="E38" s="4" t="inlineStr">
        <is>
          <t>150% DB</t>
        </is>
      </c>
      <c r="F38" s="4" t="inlineStr">
        <is>
          <t>Mid-quarter</t>
        </is>
      </c>
      <c r="G38" s="6">
        <f>IFERROR(IF(INDEX('Tax Basis'!$C$8:$C$87,MATCH($A38,'Tax Basis'!$A$8:$A$87,0))="Nondepreciable land",0,INDEX('Tax Basis'!$H$8:$H$87,MATCH($A38,'Tax Basis'!$A$8:$A$87,0))),0)</f>
        <v/>
      </c>
      <c r="H38" s="8" t="n">
        <v>46547.67</v>
      </c>
      <c r="I38" s="8" t="n">
        <v>2971.13</v>
      </c>
      <c r="J38" s="8">
        <f>MIN(G38,H38+I38)</f>
        <v/>
      </c>
      <c r="K38" s="8">
        <f>G38-J38</f>
        <v/>
      </c>
      <c r="L38" s="4" t="inlineStr">
        <is>
          <t>Section 1245</t>
        </is>
      </c>
      <c r="M38" s="4">
        <f>IF(AND(J38&lt;=G38,K38&gt;=0),"OK","CHECK")</f>
        <v/>
      </c>
    </row>
    <row r="39">
      <c r="A39" s="22">
        <f>'Tax Basis'!A39</f>
        <v/>
      </c>
      <c r="B39" s="22">
        <f>IFERROR(INDEX('Tax Basis'!$B$8:$B$87,MATCH($A39,'Tax Basis'!$A$8:$A$87,0)),"Review-only vintage split")</f>
        <v/>
      </c>
      <c r="C39" s="23">
        <f>IFERROR(INDEX('Tax Basis'!$D$8:$D$87,MATCH($A39,'Tax Basis'!$A$8:$A$87,0)),Sale_Date)</f>
        <v/>
      </c>
      <c r="D39" s="4" t="n">
        <v>5</v>
      </c>
      <c r="E39" s="4" t="inlineStr">
        <is>
          <t>200% DB</t>
        </is>
      </c>
      <c r="F39" s="4" t="inlineStr">
        <is>
          <t>Half-year</t>
        </is>
      </c>
      <c r="G39" s="6">
        <f>IFERROR(IF(INDEX('Tax Basis'!$C$8:$C$87,MATCH($A39,'Tax Basis'!$A$8:$A$87,0))="Nondepreciable land",0,INDEX('Tax Basis'!$H$8:$H$87,MATCH($A39,'Tax Basis'!$A$8:$A$87,0))),0)</f>
        <v/>
      </c>
      <c r="H39" s="8" t="n">
        <v>51505.27</v>
      </c>
      <c r="I39" s="8" t="n">
        <v>3287.57</v>
      </c>
      <c r="J39" s="8">
        <f>MIN(G39,H39+I39)</f>
        <v/>
      </c>
      <c r="K39" s="8">
        <f>G39-J39</f>
        <v/>
      </c>
      <c r="L39" s="4" t="inlineStr">
        <is>
          <t>Section 1245</t>
        </is>
      </c>
      <c r="M39" s="4">
        <f>IF(AND(J39&lt;=G39,K39&gt;=0),"OK","CHECK")</f>
        <v/>
      </c>
    </row>
    <row r="40">
      <c r="A40" s="22">
        <f>'Tax Basis'!A40</f>
        <v/>
      </c>
      <c r="B40" s="22">
        <f>IFERROR(INDEX('Tax Basis'!$B$8:$B$87,MATCH($A40,'Tax Basis'!$A$8:$A$87,0)),"Review-only vintage split")</f>
        <v/>
      </c>
      <c r="C40" s="23">
        <f>IFERROR(INDEX('Tax Basis'!$D$8:$D$87,MATCH($A40,'Tax Basis'!$A$8:$A$87,0)),Sale_Date)</f>
        <v/>
      </c>
      <c r="D40" s="4" t="n">
        <v>39</v>
      </c>
      <c r="E40" s="4" t="inlineStr">
        <is>
          <t>SL</t>
        </is>
      </c>
      <c r="F40" s="4" t="inlineStr">
        <is>
          <t>Mid-month</t>
        </is>
      </c>
      <c r="G40" s="6">
        <f>IFERROR(IF(INDEX('Tax Basis'!$C$8:$C$87,MATCH($A40,'Tax Basis'!$A$8:$A$87,0))="Nondepreciable land",0,INDEX('Tax Basis'!$H$8:$H$87,MATCH($A40,'Tax Basis'!$A$8:$A$87,0))),0)</f>
        <v/>
      </c>
      <c r="H40" s="8" t="n">
        <v>56462.86</v>
      </c>
      <c r="I40" s="8" t="n">
        <v>3604.01</v>
      </c>
      <c r="J40" s="8">
        <f>MIN(G40,H40+I40)</f>
        <v/>
      </c>
      <c r="K40" s="8">
        <f>G40-J40</f>
        <v/>
      </c>
      <c r="L40" s="4" t="inlineStr">
        <is>
          <t>Section 1250</t>
        </is>
      </c>
      <c r="M40" s="4">
        <f>IF(AND(J40&lt;=G40,K40&gt;=0),"OK","CHECK")</f>
        <v/>
      </c>
    </row>
    <row r="41">
      <c r="A41" s="22">
        <f>'Tax Basis'!A41</f>
        <v/>
      </c>
      <c r="B41" s="22">
        <f>IFERROR(INDEX('Tax Basis'!$B$8:$B$87,MATCH($A41,'Tax Basis'!$A$8:$A$87,0)),"Review-only vintage split")</f>
        <v/>
      </c>
      <c r="C41" s="23">
        <f>IFERROR(INDEX('Tax Basis'!$D$8:$D$87,MATCH($A41,'Tax Basis'!$A$8:$A$87,0)),Sale_Date)</f>
        <v/>
      </c>
      <c r="D41" s="4" t="n">
        <v>15</v>
      </c>
      <c r="E41" s="4" t="inlineStr">
        <is>
          <t>SL</t>
        </is>
      </c>
      <c r="F41" s="4" t="inlineStr">
        <is>
          <t>Mid-month</t>
        </is>
      </c>
      <c r="G41" s="6">
        <f>IFERROR(IF(INDEX('Tax Basis'!$C$8:$C$87,MATCH($A41,'Tax Basis'!$A$8:$A$87,0))="Nondepreciable land",0,INDEX('Tax Basis'!$H$8:$H$87,MATCH($A41,'Tax Basis'!$A$8:$A$87,0))),0)</f>
        <v/>
      </c>
      <c r="H41" s="8" t="n">
        <v>56458.2</v>
      </c>
      <c r="I41" s="8" t="n">
        <v>3603.71</v>
      </c>
      <c r="J41" s="8">
        <f>MIN(G41,H41+I41)</f>
        <v/>
      </c>
      <c r="K41" s="8">
        <f>G41-J41</f>
        <v/>
      </c>
      <c r="L41" s="4" t="inlineStr">
        <is>
          <t>Section 1250</t>
        </is>
      </c>
      <c r="M41" s="4">
        <f>IF(AND(J41&lt;=G41,K41&gt;=0),"OK","CHECK")</f>
        <v/>
      </c>
    </row>
    <row r="42">
      <c r="A42" s="22">
        <f>'Tax Basis'!A42</f>
        <v/>
      </c>
      <c r="B42" s="22">
        <f>IFERROR(INDEX('Tax Basis'!$B$8:$B$87,MATCH($A42,'Tax Basis'!$A$8:$A$87,0)),"Review-only vintage split")</f>
        <v/>
      </c>
      <c r="C42" s="23">
        <f>IFERROR(INDEX('Tax Basis'!$D$8:$D$87,MATCH($A42,'Tax Basis'!$A$8:$A$87,0)),Sale_Date)</f>
        <v/>
      </c>
      <c r="D42" s="4" t="n">
        <v>7</v>
      </c>
      <c r="E42" s="4" t="inlineStr">
        <is>
          <t>200% DB</t>
        </is>
      </c>
      <c r="F42" s="4" t="inlineStr">
        <is>
          <t>Mid-quarter</t>
        </is>
      </c>
      <c r="G42" s="6">
        <f>IFERROR(IF(INDEX('Tax Basis'!$C$8:$C$87,MATCH($A42,'Tax Basis'!$A$8:$A$87,0))="Nondepreciable land",0,INDEX('Tax Basis'!$H$8:$H$87,MATCH($A42,'Tax Basis'!$A$8:$A$87,0))),0)</f>
        <v/>
      </c>
      <c r="H42" s="8" t="n">
        <v>11113.41</v>
      </c>
      <c r="I42" s="8" t="n">
        <v>709.37</v>
      </c>
      <c r="J42" s="8">
        <f>MIN(G42,H42+I42)</f>
        <v/>
      </c>
      <c r="K42" s="8">
        <f>G42-J42</f>
        <v/>
      </c>
      <c r="L42" s="4" t="inlineStr">
        <is>
          <t>Section 1245</t>
        </is>
      </c>
      <c r="M42" s="4">
        <f>IF(AND(J42&lt;=G42,K42&gt;=0),"OK","CHECK")</f>
        <v/>
      </c>
    </row>
    <row r="43">
      <c r="A43" s="22">
        <f>'Tax Basis'!A43</f>
        <v/>
      </c>
      <c r="B43" s="22">
        <f>IFERROR(INDEX('Tax Basis'!$B$8:$B$87,MATCH($A43,'Tax Basis'!$A$8:$A$87,0)),"Review-only vintage split")</f>
        <v/>
      </c>
      <c r="C43" s="23">
        <f>IFERROR(INDEX('Tax Basis'!$D$8:$D$87,MATCH($A43,'Tax Basis'!$A$8:$A$87,0)),Sale_Date)</f>
        <v/>
      </c>
      <c r="D43" s="4" t="n">
        <v>5</v>
      </c>
      <c r="E43" s="4" t="inlineStr">
        <is>
          <t>200% DB</t>
        </is>
      </c>
      <c r="F43" s="4" t="inlineStr">
        <is>
          <t>Half-year</t>
        </is>
      </c>
      <c r="G43" s="6">
        <f>IFERROR(IF(INDEX('Tax Basis'!$C$8:$C$87,MATCH($A43,'Tax Basis'!$A$8:$A$87,0))="Nondepreciable land",0,INDEX('Tax Basis'!$H$8:$H$87,MATCH($A43,'Tax Basis'!$A$8:$A$87,0))),0)</f>
        <v/>
      </c>
      <c r="H43" s="8" t="n">
        <v>16071.01</v>
      </c>
      <c r="I43" s="8" t="n">
        <v>1025.81</v>
      </c>
      <c r="J43" s="8">
        <f>MIN(G43,H43+I43)</f>
        <v/>
      </c>
      <c r="K43" s="8">
        <f>G43-J43</f>
        <v/>
      </c>
      <c r="L43" s="4" t="inlineStr">
        <is>
          <t>Section 1245</t>
        </is>
      </c>
      <c r="M43" s="4">
        <f>IF(AND(J43&lt;=G43,K43&gt;=0),"OK","CHECK")</f>
        <v/>
      </c>
    </row>
    <row r="44">
      <c r="A44" s="22">
        <f>'Tax Basis'!A44</f>
        <v/>
      </c>
      <c r="B44" s="22">
        <f>IFERROR(INDEX('Tax Basis'!$B$8:$B$87,MATCH($A44,'Tax Basis'!$A$8:$A$87,0)),"Review-only vintage split")</f>
        <v/>
      </c>
      <c r="C44" s="23">
        <f>IFERROR(INDEX('Tax Basis'!$D$8:$D$87,MATCH($A44,'Tax Basis'!$A$8:$A$87,0)),Sale_Date)</f>
        <v/>
      </c>
      <c r="D44" s="4" t="n">
        <v>39</v>
      </c>
      <c r="E44" s="4" t="inlineStr">
        <is>
          <t>SL</t>
        </is>
      </c>
      <c r="F44" s="4" t="inlineStr">
        <is>
          <t>Mid-month</t>
        </is>
      </c>
      <c r="G44" s="6">
        <f>IFERROR(IF(INDEX('Tax Basis'!$C$8:$C$87,MATCH($A44,'Tax Basis'!$A$8:$A$87,0))="Nondepreciable land",0,INDEX('Tax Basis'!$H$8:$H$87,MATCH($A44,'Tax Basis'!$A$8:$A$87,0))),0)</f>
        <v/>
      </c>
      <c r="H44" s="8" t="n">
        <v>21028.61</v>
      </c>
      <c r="I44" s="8" t="n">
        <v>1342.25</v>
      </c>
      <c r="J44" s="8">
        <f>MIN(G44,H44+I44)</f>
        <v/>
      </c>
      <c r="K44" s="8">
        <f>G44-J44</f>
        <v/>
      </c>
      <c r="L44" s="4" t="inlineStr">
        <is>
          <t>Section 1250</t>
        </is>
      </c>
      <c r="M44" s="4">
        <f>IF(AND(J44&lt;=G44,K44&gt;=0),"OK","CHECK")</f>
        <v/>
      </c>
    </row>
    <row r="45">
      <c r="A45" s="22">
        <f>'Tax Basis'!A45</f>
        <v/>
      </c>
      <c r="B45" s="22">
        <f>IFERROR(INDEX('Tax Basis'!$B$8:$B$87,MATCH($A45,'Tax Basis'!$A$8:$A$87,0)),"Review-only vintage split")</f>
        <v/>
      </c>
      <c r="C45" s="23">
        <f>IFERROR(INDEX('Tax Basis'!$D$8:$D$87,MATCH($A45,'Tax Basis'!$A$8:$A$87,0)),Sale_Date)</f>
        <v/>
      </c>
      <c r="D45" s="4" t="n">
        <v>15</v>
      </c>
      <c r="E45" s="4" t="inlineStr">
        <is>
          <t>SL</t>
        </is>
      </c>
      <c r="F45" s="4" t="inlineStr">
        <is>
          <t>Mid-month</t>
        </is>
      </c>
      <c r="G45" s="6">
        <f>IFERROR(IF(INDEX('Tax Basis'!$C$8:$C$87,MATCH($A45,'Tax Basis'!$A$8:$A$87,0))="Nondepreciable land",0,INDEX('Tax Basis'!$H$8:$H$87,MATCH($A45,'Tax Basis'!$A$8:$A$87,0))),0)</f>
        <v/>
      </c>
      <c r="H45" s="8" t="n">
        <v>25986.21</v>
      </c>
      <c r="I45" s="8" t="n">
        <v>1658.69</v>
      </c>
      <c r="J45" s="8">
        <f>MIN(G45,H45+I45)</f>
        <v/>
      </c>
      <c r="K45" s="8">
        <f>G45-J45</f>
        <v/>
      </c>
      <c r="L45" s="4" t="inlineStr">
        <is>
          <t>Section 1250</t>
        </is>
      </c>
      <c r="M45" s="4">
        <f>IF(AND(J45&lt;=G45,K45&gt;=0),"OK","CHECK")</f>
        <v/>
      </c>
    </row>
    <row r="46">
      <c r="A46" s="22">
        <f>'Tax Basis'!A46</f>
        <v/>
      </c>
      <c r="B46" s="22">
        <f>IFERROR(INDEX('Tax Basis'!$B$8:$B$87,MATCH($A46,'Tax Basis'!$A$8:$A$87,0)),"Review-only vintage split")</f>
        <v/>
      </c>
      <c r="C46" s="23">
        <f>IFERROR(INDEX('Tax Basis'!$D$8:$D$87,MATCH($A46,'Tax Basis'!$A$8:$A$87,0)),Sale_Date)</f>
        <v/>
      </c>
      <c r="D46" s="4" t="n">
        <v>7</v>
      </c>
      <c r="E46" s="4" t="inlineStr">
        <is>
          <t>200% DB</t>
        </is>
      </c>
      <c r="F46" s="4" t="inlineStr">
        <is>
          <t>Mid-quarter</t>
        </is>
      </c>
      <c r="G46" s="6">
        <f>IFERROR(IF(INDEX('Tax Basis'!$C$8:$C$87,MATCH($A46,'Tax Basis'!$A$8:$A$87,0))="Nondepreciable land",0,INDEX('Tax Basis'!$H$8:$H$87,MATCH($A46,'Tax Basis'!$A$8:$A$87,0))),0)</f>
        <v/>
      </c>
      <c r="H46" s="8" t="n">
        <v>30943.8</v>
      </c>
      <c r="I46" s="8" t="n">
        <v>1975.14</v>
      </c>
      <c r="J46" s="8">
        <f>MIN(G46,H46+I46)</f>
        <v/>
      </c>
      <c r="K46" s="8">
        <f>G46-J46</f>
        <v/>
      </c>
      <c r="L46" s="4" t="inlineStr">
        <is>
          <t>Section 1245</t>
        </is>
      </c>
      <c r="M46" s="4">
        <f>IF(AND(J46&lt;=G46,K46&gt;=0),"OK","CHECK")</f>
        <v/>
      </c>
    </row>
    <row r="47">
      <c r="A47" s="22">
        <f>'Tax Basis'!A47</f>
        <v/>
      </c>
      <c r="B47" s="22">
        <f>IFERROR(INDEX('Tax Basis'!$B$8:$B$87,MATCH($A47,'Tax Basis'!$A$8:$A$87,0)),"Review-only vintage split")</f>
        <v/>
      </c>
      <c r="C47" s="23">
        <f>IFERROR(INDEX('Tax Basis'!$D$8:$D$87,MATCH($A47,'Tax Basis'!$A$8:$A$87,0)),Sale_Date)</f>
        <v/>
      </c>
      <c r="D47" s="4" t="n">
        <v>5</v>
      </c>
      <c r="E47" s="4" t="inlineStr">
        <is>
          <t>150% DB</t>
        </is>
      </c>
      <c r="F47" s="4" t="inlineStr">
        <is>
          <t>Half-year</t>
        </is>
      </c>
      <c r="G47" s="6">
        <f>IFERROR(IF(INDEX('Tax Basis'!$C$8:$C$87,MATCH($A47,'Tax Basis'!$A$8:$A$87,0))="Nondepreciable land",0,INDEX('Tax Basis'!$H$8:$H$87,MATCH($A47,'Tax Basis'!$A$8:$A$87,0))),0)</f>
        <v/>
      </c>
      <c r="H47" s="8" t="n">
        <v>35901.39</v>
      </c>
      <c r="I47" s="8" t="n">
        <v>2291.58</v>
      </c>
      <c r="J47" s="8">
        <f>MIN(G47,H47+I47)</f>
        <v/>
      </c>
      <c r="K47" s="8">
        <f>G47-J47</f>
        <v/>
      </c>
      <c r="L47" s="4" t="inlineStr">
        <is>
          <t>Section 1245</t>
        </is>
      </c>
      <c r="M47" s="4">
        <f>IF(AND(J47&lt;=G47,K47&gt;=0),"OK","CHECK")</f>
        <v/>
      </c>
    </row>
    <row r="48">
      <c r="A48" s="22">
        <f>'Tax Basis'!A48</f>
        <v/>
      </c>
      <c r="B48" s="22">
        <f>IFERROR(INDEX('Tax Basis'!$B$8:$B$87,MATCH($A48,'Tax Basis'!$A$8:$A$87,0)),"Review-only vintage split")</f>
        <v/>
      </c>
      <c r="C48" s="23">
        <f>IFERROR(INDEX('Tax Basis'!$D$8:$D$87,MATCH($A48,'Tax Basis'!$A$8:$A$87,0)),Sale_Date)</f>
        <v/>
      </c>
      <c r="D48" s="4" t="n">
        <v>39</v>
      </c>
      <c r="E48" s="4" t="inlineStr">
        <is>
          <t>SL</t>
        </is>
      </c>
      <c r="F48" s="4" t="inlineStr">
        <is>
          <t>Mid-month</t>
        </is>
      </c>
      <c r="G48" s="6">
        <f>IFERROR(IF(INDEX('Tax Basis'!$C$8:$C$87,MATCH($A48,'Tax Basis'!$A$8:$A$87,0))="Nondepreciable land",0,INDEX('Tax Basis'!$H$8:$H$87,MATCH($A48,'Tax Basis'!$A$8:$A$87,0))),0)</f>
        <v/>
      </c>
      <c r="H48" s="8" t="n">
        <v>40858.99</v>
      </c>
      <c r="I48" s="8" t="n">
        <v>2608.02</v>
      </c>
      <c r="J48" s="8">
        <f>MIN(G48,H48+I48)</f>
        <v/>
      </c>
      <c r="K48" s="8">
        <f>G48-J48</f>
        <v/>
      </c>
      <c r="L48" s="4" t="inlineStr">
        <is>
          <t>Section 1250</t>
        </is>
      </c>
      <c r="M48" s="4">
        <f>IF(AND(J48&lt;=G48,K48&gt;=0),"OK","CHECK")</f>
        <v/>
      </c>
    </row>
    <row r="49">
      <c r="A49" s="22">
        <f>'Tax Basis'!A49</f>
        <v/>
      </c>
      <c r="B49" s="22">
        <f>IFERROR(INDEX('Tax Basis'!$B$8:$B$87,MATCH($A49,'Tax Basis'!$A$8:$A$87,0)),"Review-only vintage split")</f>
        <v/>
      </c>
      <c r="C49" s="23">
        <f>IFERROR(INDEX('Tax Basis'!$D$8:$D$87,MATCH($A49,'Tax Basis'!$A$8:$A$87,0)),Sale_Date)</f>
        <v/>
      </c>
      <c r="D49" s="4" t="n">
        <v>15</v>
      </c>
      <c r="E49" s="4" t="inlineStr">
        <is>
          <t>SL</t>
        </is>
      </c>
      <c r="F49" s="4" t="inlineStr">
        <is>
          <t>Mid-month</t>
        </is>
      </c>
      <c r="G49" s="6">
        <f>IFERROR(IF(INDEX('Tax Basis'!$C$8:$C$87,MATCH($A49,'Tax Basis'!$A$8:$A$87,0))="Nondepreciable land",0,INDEX('Tax Basis'!$H$8:$H$87,MATCH($A49,'Tax Basis'!$A$8:$A$87,0))),0)</f>
        <v/>
      </c>
      <c r="H49" s="8" t="n">
        <v>45273.18</v>
      </c>
      <c r="I49" s="8" t="n">
        <v>2889.78</v>
      </c>
      <c r="J49" s="8">
        <f>MIN(G49,H49+I49)</f>
        <v/>
      </c>
      <c r="K49" s="8">
        <f>G49-J49</f>
        <v/>
      </c>
      <c r="L49" s="4" t="inlineStr">
        <is>
          <t>Section 1250</t>
        </is>
      </c>
      <c r="M49" s="4">
        <f>IF(AND(J49&lt;=G49,K49&gt;=0),"OK","CHECK")</f>
        <v/>
      </c>
    </row>
    <row r="50">
      <c r="A50" s="22">
        <f>'Tax Basis'!A50</f>
        <v/>
      </c>
      <c r="B50" s="22">
        <f>IFERROR(INDEX('Tax Basis'!$B$8:$B$87,MATCH($A50,'Tax Basis'!$A$8:$A$87,0)),"Review-only vintage split")</f>
        <v/>
      </c>
      <c r="C50" s="23">
        <f>IFERROR(INDEX('Tax Basis'!$D$8:$D$87,MATCH($A50,'Tax Basis'!$A$8:$A$87,0)),Sale_Date)</f>
        <v/>
      </c>
      <c r="D50" s="4" t="n">
        <v>7</v>
      </c>
      <c r="E50" s="4" t="inlineStr">
        <is>
          <t>150% DB</t>
        </is>
      </c>
      <c r="F50" s="4" t="inlineStr">
        <is>
          <t>Mid-quarter</t>
        </is>
      </c>
      <c r="G50" s="6">
        <f>IFERROR(IF(INDEX('Tax Basis'!$C$8:$C$87,MATCH($A50,'Tax Basis'!$A$8:$A$87,0))="Nondepreciable land",0,INDEX('Tax Basis'!$H$8:$H$87,MATCH($A50,'Tax Basis'!$A$8:$A$87,0))),0)</f>
        <v/>
      </c>
      <c r="H50" s="8" t="n">
        <v>50774.18</v>
      </c>
      <c r="I50" s="8" t="n">
        <v>3240.9</v>
      </c>
      <c r="J50" s="8">
        <f>MIN(G50,H50+I50)</f>
        <v/>
      </c>
      <c r="K50" s="8">
        <f>G50-J50</f>
        <v/>
      </c>
      <c r="L50" s="4" t="inlineStr">
        <is>
          <t>Section 1245</t>
        </is>
      </c>
      <c r="M50" s="4">
        <f>IF(AND(J50&lt;=G50,K50&gt;=0),"OK","CHECK")</f>
        <v/>
      </c>
    </row>
    <row r="51">
      <c r="A51" s="22">
        <f>'Tax Basis'!A51</f>
        <v/>
      </c>
      <c r="B51" s="22">
        <f>IFERROR(INDEX('Tax Basis'!$B$8:$B$87,MATCH($A51,'Tax Basis'!$A$8:$A$87,0)),"Review-only vintage split")</f>
        <v/>
      </c>
      <c r="C51" s="23">
        <f>IFERROR(INDEX('Tax Basis'!$D$8:$D$87,MATCH($A51,'Tax Basis'!$A$8:$A$87,0)),Sale_Date)</f>
        <v/>
      </c>
      <c r="D51" s="4" t="n">
        <v>5</v>
      </c>
      <c r="E51" s="4" t="inlineStr">
        <is>
          <t>200% DB</t>
        </is>
      </c>
      <c r="F51" s="4" t="inlineStr">
        <is>
          <t>Half-year</t>
        </is>
      </c>
      <c r="G51" s="6">
        <f>IFERROR(IF(INDEX('Tax Basis'!$C$8:$C$87,MATCH($A51,'Tax Basis'!$A$8:$A$87,0))="Nondepreciable land",0,INDEX('Tax Basis'!$H$8:$H$87,MATCH($A51,'Tax Basis'!$A$8:$A$87,0))),0)</f>
        <v/>
      </c>
      <c r="H51" s="8" t="n">
        <v>55731.77</v>
      </c>
      <c r="I51" s="8" t="n">
        <v>3557.35</v>
      </c>
      <c r="J51" s="8">
        <f>MIN(G51,H51+I51)</f>
        <v/>
      </c>
      <c r="K51" s="8">
        <f>G51-J51</f>
        <v/>
      </c>
      <c r="L51" s="4" t="inlineStr">
        <is>
          <t>Section 1245</t>
        </is>
      </c>
      <c r="M51" s="4">
        <f>IF(AND(J51&lt;=G51,K51&gt;=0),"OK","CHECK")</f>
        <v/>
      </c>
    </row>
    <row r="52">
      <c r="A52" s="22">
        <f>'Tax Basis'!A52</f>
        <v/>
      </c>
      <c r="B52" s="22">
        <f>IFERROR(INDEX('Tax Basis'!$B$8:$B$87,MATCH($A52,'Tax Basis'!$A$8:$A$87,0)),"Review-only vintage split")</f>
        <v/>
      </c>
      <c r="C52" s="23">
        <f>IFERROR(INDEX('Tax Basis'!$D$8:$D$87,MATCH($A52,'Tax Basis'!$A$8:$A$87,0)),Sale_Date)</f>
        <v/>
      </c>
      <c r="D52" s="4" t="n">
        <v>39</v>
      </c>
      <c r="E52" s="4" t="inlineStr">
        <is>
          <t>SL</t>
        </is>
      </c>
      <c r="F52" s="4" t="inlineStr">
        <is>
          <t>Mid-month</t>
        </is>
      </c>
      <c r="G52" s="6">
        <f>IFERROR(IF(INDEX('Tax Basis'!$C$8:$C$87,MATCH($A52,'Tax Basis'!$A$8:$A$87,0))="Nondepreciable land",0,INDEX('Tax Basis'!$H$8:$H$87,MATCH($A52,'Tax Basis'!$A$8:$A$87,0))),0)</f>
        <v/>
      </c>
      <c r="H52" s="8" t="n">
        <v>60689.37</v>
      </c>
      <c r="I52" s="8" t="n">
        <v>3873.79</v>
      </c>
      <c r="J52" s="8">
        <f>MIN(G52,H52+I52)</f>
        <v/>
      </c>
      <c r="K52" s="8">
        <f>G52-J52</f>
        <v/>
      </c>
      <c r="L52" s="4" t="inlineStr">
        <is>
          <t>Section 1250</t>
        </is>
      </c>
      <c r="M52" s="4">
        <f>IF(AND(J52&lt;=G52,K52&gt;=0),"OK","CHECK")</f>
        <v/>
      </c>
    </row>
    <row r="53">
      <c r="A53" s="22">
        <f>'Tax Basis'!A53</f>
        <v/>
      </c>
      <c r="B53" s="22">
        <f>IFERROR(INDEX('Tax Basis'!$B$8:$B$87,MATCH($A53,'Tax Basis'!$A$8:$A$87,0)),"Review-only vintage split")</f>
        <v/>
      </c>
      <c r="C53" s="23">
        <f>IFERROR(INDEX('Tax Basis'!$D$8:$D$87,MATCH($A53,'Tax Basis'!$A$8:$A$87,0)),Sale_Date)</f>
        <v/>
      </c>
      <c r="D53" s="4" t="n">
        <v>15</v>
      </c>
      <c r="E53" s="4" t="inlineStr">
        <is>
          <t>SL</t>
        </is>
      </c>
      <c r="F53" s="4" t="inlineStr">
        <is>
          <t>Mid-month</t>
        </is>
      </c>
      <c r="G53" s="6">
        <f>IFERROR(IF(INDEX('Tax Basis'!$C$8:$C$87,MATCH($A53,'Tax Basis'!$A$8:$A$87,0))="Nondepreciable land",0,INDEX('Tax Basis'!$H$8:$H$87,MATCH($A53,'Tax Basis'!$A$8:$A$87,0))),0)</f>
        <v/>
      </c>
      <c r="H53" s="8" t="n">
        <v>15344.6</v>
      </c>
      <c r="I53" s="8" t="n">
        <v>979.4400000000001</v>
      </c>
      <c r="J53" s="8">
        <f>MIN(G53,H53+I53)</f>
        <v/>
      </c>
      <c r="K53" s="8">
        <f>G53-J53</f>
        <v/>
      </c>
      <c r="L53" s="4" t="inlineStr">
        <is>
          <t>Section 1250</t>
        </is>
      </c>
      <c r="M53" s="4">
        <f>IF(AND(J53&lt;=G53,K53&gt;=0),"OK","CHECK")</f>
        <v/>
      </c>
    </row>
    <row r="54">
      <c r="A54" s="22">
        <f>'Tax Basis'!A54</f>
        <v/>
      </c>
      <c r="B54" s="22">
        <f>IFERROR(INDEX('Tax Basis'!$B$8:$B$87,MATCH($A54,'Tax Basis'!$A$8:$A$87,0)),"Review-only vintage split")</f>
        <v/>
      </c>
      <c r="C54" s="23">
        <f>IFERROR(INDEX('Tax Basis'!$D$8:$D$87,MATCH($A54,'Tax Basis'!$A$8:$A$87,0)),Sale_Date)</f>
        <v/>
      </c>
      <c r="D54" s="4" t="n">
        <v>7</v>
      </c>
      <c r="E54" s="4" t="inlineStr">
        <is>
          <t>200% DB</t>
        </is>
      </c>
      <c r="F54" s="4" t="inlineStr">
        <is>
          <t>Mid-quarter</t>
        </is>
      </c>
      <c r="G54" s="6">
        <f>IFERROR(IF(INDEX('Tax Basis'!$C$8:$C$87,MATCH($A54,'Tax Basis'!$A$8:$A$87,0))="Nondepreciable land",0,INDEX('Tax Basis'!$H$8:$H$87,MATCH($A54,'Tax Basis'!$A$8:$A$87,0))),0)</f>
        <v/>
      </c>
      <c r="H54" s="8" t="n">
        <v>20302.19</v>
      </c>
      <c r="I54" s="8" t="n">
        <v>1295.88</v>
      </c>
      <c r="J54" s="8">
        <f>MIN(G54,H54+I54)</f>
        <v/>
      </c>
      <c r="K54" s="8">
        <f>G54-J54</f>
        <v/>
      </c>
      <c r="L54" s="4" t="inlineStr">
        <is>
          <t>Section 1245</t>
        </is>
      </c>
      <c r="M54" s="4">
        <f>IF(AND(J54&lt;=G54,K54&gt;=0),"OK","CHECK")</f>
        <v/>
      </c>
    </row>
    <row r="55">
      <c r="A55" s="22">
        <f>'Tax Basis'!A55</f>
        <v/>
      </c>
      <c r="B55" s="22">
        <f>IFERROR(INDEX('Tax Basis'!$B$8:$B$87,MATCH($A55,'Tax Basis'!$A$8:$A$87,0)),"Review-only vintage split")</f>
        <v/>
      </c>
      <c r="C55" s="23">
        <f>IFERROR(INDEX('Tax Basis'!$D$8:$D$87,MATCH($A55,'Tax Basis'!$A$8:$A$87,0)),Sale_Date)</f>
        <v/>
      </c>
      <c r="D55" s="4" t="n">
        <v>5</v>
      </c>
      <c r="E55" s="4" t="inlineStr">
        <is>
          <t>200% DB</t>
        </is>
      </c>
      <c r="F55" s="4" t="inlineStr">
        <is>
          <t>Half-year</t>
        </is>
      </c>
      <c r="G55" s="6">
        <f>IFERROR(IF(INDEX('Tax Basis'!$C$8:$C$87,MATCH($A55,'Tax Basis'!$A$8:$A$87,0))="Nondepreciable land",0,INDEX('Tax Basis'!$H$8:$H$87,MATCH($A55,'Tax Basis'!$A$8:$A$87,0))),0)</f>
        <v/>
      </c>
      <c r="H55" s="8" t="n">
        <v>25259.78</v>
      </c>
      <c r="I55" s="8" t="n">
        <v>1612.33</v>
      </c>
      <c r="J55" s="8">
        <f>MIN(G55,H55+I55)</f>
        <v/>
      </c>
      <c r="K55" s="8">
        <f>G55-J55</f>
        <v/>
      </c>
      <c r="L55" s="4" t="inlineStr">
        <is>
          <t>Section 1245</t>
        </is>
      </c>
      <c r="M55" s="4">
        <f>IF(AND(J55&lt;=G55,K55&gt;=0),"OK","CHECK")</f>
        <v/>
      </c>
    </row>
    <row r="56">
      <c r="A56" s="22">
        <f>'Tax Basis'!A56</f>
        <v/>
      </c>
      <c r="B56" s="22">
        <f>IFERROR(INDEX('Tax Basis'!$B$8:$B$87,MATCH($A56,'Tax Basis'!$A$8:$A$87,0)),"Review-only vintage split")</f>
        <v/>
      </c>
      <c r="C56" s="23">
        <f>IFERROR(INDEX('Tax Basis'!$D$8:$D$87,MATCH($A56,'Tax Basis'!$A$8:$A$87,0)),Sale_Date)</f>
        <v/>
      </c>
      <c r="D56" s="4" t="n">
        <v>39</v>
      </c>
      <c r="E56" s="4" t="inlineStr">
        <is>
          <t>SL</t>
        </is>
      </c>
      <c r="F56" s="4" t="inlineStr">
        <is>
          <t>Mid-month</t>
        </is>
      </c>
      <c r="G56" s="6">
        <f>IFERROR(IF(INDEX('Tax Basis'!$C$8:$C$87,MATCH($A56,'Tax Basis'!$A$8:$A$87,0))="Nondepreciable land",0,INDEX('Tax Basis'!$H$8:$H$87,MATCH($A56,'Tax Basis'!$A$8:$A$87,0))),0)</f>
        <v/>
      </c>
      <c r="H56" s="8" t="n">
        <v>30217.38</v>
      </c>
      <c r="I56" s="8" t="n">
        <v>1928.77</v>
      </c>
      <c r="J56" s="8">
        <f>MIN(G56,H56+I56)</f>
        <v/>
      </c>
      <c r="K56" s="8">
        <f>G56-J56</f>
        <v/>
      </c>
      <c r="L56" s="4" t="inlineStr">
        <is>
          <t>Section 1250</t>
        </is>
      </c>
      <c r="M56" s="4">
        <f>IF(AND(J56&lt;=G56,K56&gt;=0),"OK","CHECK")</f>
        <v/>
      </c>
    </row>
    <row r="57">
      <c r="A57" s="22">
        <f>'Tax Basis'!A57</f>
        <v/>
      </c>
      <c r="B57" s="22">
        <f>IFERROR(INDEX('Tax Basis'!$B$8:$B$87,MATCH($A57,'Tax Basis'!$A$8:$A$87,0)),"Review-only vintage split")</f>
        <v/>
      </c>
      <c r="C57" s="23">
        <f>IFERROR(INDEX('Tax Basis'!$D$8:$D$87,MATCH($A57,'Tax Basis'!$A$8:$A$87,0)),Sale_Date)</f>
        <v/>
      </c>
      <c r="D57" s="4" t="n">
        <v>15</v>
      </c>
      <c r="E57" s="4" t="inlineStr">
        <is>
          <t>SL</t>
        </is>
      </c>
      <c r="F57" s="4" t="inlineStr">
        <is>
          <t>Mid-month</t>
        </is>
      </c>
      <c r="G57" s="6">
        <f>IFERROR(IF(INDEX('Tax Basis'!$C$8:$C$87,MATCH($A57,'Tax Basis'!$A$8:$A$87,0))="Nondepreciable land",0,INDEX('Tax Basis'!$H$8:$H$87,MATCH($A57,'Tax Basis'!$A$8:$A$87,0))),0)</f>
        <v/>
      </c>
      <c r="H57" s="8" t="n">
        <v>35174.98</v>
      </c>
      <c r="I57" s="8" t="n">
        <v>2245.21</v>
      </c>
      <c r="J57" s="8">
        <f>MIN(G57,H57+I57)</f>
        <v/>
      </c>
      <c r="K57" s="8">
        <f>G57-J57</f>
        <v/>
      </c>
      <c r="L57" s="4" t="inlineStr">
        <is>
          <t>Section 1250</t>
        </is>
      </c>
      <c r="M57" s="4">
        <f>IF(AND(J57&lt;=G57,K57&gt;=0),"OK","CHECK")</f>
        <v/>
      </c>
    </row>
    <row r="58">
      <c r="A58" s="22">
        <f>'Tax Basis'!A58</f>
        <v/>
      </c>
      <c r="B58" s="22">
        <f>IFERROR(INDEX('Tax Basis'!$B$8:$B$87,MATCH($A58,'Tax Basis'!$A$8:$A$87,0)),"Review-only vintage split")</f>
        <v/>
      </c>
      <c r="C58" s="23">
        <f>IFERROR(INDEX('Tax Basis'!$D$8:$D$87,MATCH($A58,'Tax Basis'!$A$8:$A$87,0)),Sale_Date)</f>
        <v/>
      </c>
      <c r="D58" s="4" t="n">
        <v>7</v>
      </c>
      <c r="E58" s="4" t="inlineStr">
        <is>
          <t>200% DB</t>
        </is>
      </c>
      <c r="F58" s="4" t="inlineStr">
        <is>
          <t>Mid-quarter</t>
        </is>
      </c>
      <c r="G58" s="6">
        <f>IFERROR(IF(INDEX('Tax Basis'!$C$8:$C$87,MATCH($A58,'Tax Basis'!$A$8:$A$87,0))="Nondepreciable land",0,INDEX('Tax Basis'!$H$8:$H$87,MATCH($A58,'Tax Basis'!$A$8:$A$87,0))),0)</f>
        <v/>
      </c>
      <c r="H58" s="8" t="n">
        <v>40132.57</v>
      </c>
      <c r="I58" s="8" t="n">
        <v>2561.65</v>
      </c>
      <c r="J58" s="8">
        <f>MIN(G58,H58+I58)</f>
        <v/>
      </c>
      <c r="K58" s="8">
        <f>G58-J58</f>
        <v/>
      </c>
      <c r="L58" s="4" t="inlineStr">
        <is>
          <t>Section 1245</t>
        </is>
      </c>
      <c r="M58" s="4">
        <f>IF(AND(J58&lt;=G58,K58&gt;=0),"OK","CHECK")</f>
        <v/>
      </c>
    </row>
    <row r="59">
      <c r="A59" s="22">
        <f>'Tax Basis'!A59</f>
        <v/>
      </c>
      <c r="B59" s="22">
        <f>IFERROR(INDEX('Tax Basis'!$B$8:$B$87,MATCH($A59,'Tax Basis'!$A$8:$A$87,0)),"Review-only vintage split")</f>
        <v/>
      </c>
      <c r="C59" s="23">
        <f>IFERROR(INDEX('Tax Basis'!$D$8:$D$87,MATCH($A59,'Tax Basis'!$A$8:$A$87,0)),Sale_Date)</f>
        <v/>
      </c>
      <c r="D59" s="4" t="n">
        <v>5</v>
      </c>
      <c r="E59" s="4" t="inlineStr">
        <is>
          <t>150% DB</t>
        </is>
      </c>
      <c r="F59" s="4" t="inlineStr">
        <is>
          <t>Half-year</t>
        </is>
      </c>
      <c r="G59" s="6">
        <f>IFERROR(IF(INDEX('Tax Basis'!$C$8:$C$87,MATCH($A59,'Tax Basis'!$A$8:$A$87,0))="Nondepreciable land",0,INDEX('Tax Basis'!$H$8:$H$87,MATCH($A59,'Tax Basis'!$A$8:$A$87,0))),0)</f>
        <v/>
      </c>
      <c r="H59" s="8" t="n">
        <v>45090.16</v>
      </c>
      <c r="I59" s="8" t="n">
        <v>2878.1</v>
      </c>
      <c r="J59" s="8">
        <f>MIN(G59,H59+I59)</f>
        <v/>
      </c>
      <c r="K59" s="8">
        <f>G59-J59</f>
        <v/>
      </c>
      <c r="L59" s="4" t="inlineStr">
        <is>
          <t>Section 1245</t>
        </is>
      </c>
      <c r="M59" s="4">
        <f>IF(AND(J59&lt;=G59,K59&gt;=0),"OK","CHECK")</f>
        <v/>
      </c>
    </row>
    <row r="60">
      <c r="A60" s="22">
        <f>'Tax Basis'!A60</f>
        <v/>
      </c>
      <c r="B60" s="22">
        <f>IFERROR(INDEX('Tax Basis'!$B$8:$B$87,MATCH($A60,'Tax Basis'!$A$8:$A$87,0)),"Review-only vintage split")</f>
        <v/>
      </c>
      <c r="C60" s="23">
        <f>IFERROR(INDEX('Tax Basis'!$D$8:$D$87,MATCH($A60,'Tax Basis'!$A$8:$A$87,0)),Sale_Date)</f>
        <v/>
      </c>
      <c r="D60" s="4" t="n">
        <v>39</v>
      </c>
      <c r="E60" s="4" t="inlineStr">
        <is>
          <t>SL</t>
        </is>
      </c>
      <c r="F60" s="4" t="inlineStr">
        <is>
          <t>Mid-month</t>
        </is>
      </c>
      <c r="G60" s="6">
        <f>IFERROR(IF(INDEX('Tax Basis'!$C$8:$C$87,MATCH($A60,'Tax Basis'!$A$8:$A$87,0))="Nondepreciable land",0,INDEX('Tax Basis'!$H$8:$H$87,MATCH($A60,'Tax Basis'!$A$8:$A$87,0))),0)</f>
        <v/>
      </c>
      <c r="H60" s="8" t="n">
        <v>50047.76</v>
      </c>
      <c r="I60" s="8" t="n">
        <v>3194.54</v>
      </c>
      <c r="J60" s="8">
        <f>MIN(G60,H60+I60)</f>
        <v/>
      </c>
      <c r="K60" s="8">
        <f>G60-J60</f>
        <v/>
      </c>
      <c r="L60" s="4" t="inlineStr">
        <is>
          <t>Section 1250</t>
        </is>
      </c>
      <c r="M60" s="4">
        <f>IF(AND(J60&lt;=G60,K60&gt;=0),"OK","CHECK")</f>
        <v/>
      </c>
    </row>
    <row r="61">
      <c r="A61" s="22">
        <f>'Tax Basis'!A61</f>
        <v/>
      </c>
      <c r="B61" s="22">
        <f>IFERROR(INDEX('Tax Basis'!$B$8:$B$87,MATCH($A61,'Tax Basis'!$A$8:$A$87,0)),"Review-only vintage split")</f>
        <v/>
      </c>
      <c r="C61" s="23">
        <f>IFERROR(INDEX('Tax Basis'!$D$8:$D$87,MATCH($A61,'Tax Basis'!$A$8:$A$87,0)),Sale_Date)</f>
        <v/>
      </c>
      <c r="D61" s="4" t="n">
        <v>15</v>
      </c>
      <c r="E61" s="4" t="inlineStr">
        <is>
          <t>SL</t>
        </is>
      </c>
      <c r="F61" s="4" t="inlineStr">
        <is>
          <t>Mid-month</t>
        </is>
      </c>
      <c r="G61" s="6">
        <f>IFERROR(IF(INDEX('Tax Basis'!$C$8:$C$87,MATCH($A61,'Tax Basis'!$A$8:$A$87,0))="Nondepreciable land",0,INDEX('Tax Basis'!$H$8:$H$87,MATCH($A61,'Tax Basis'!$A$8:$A$87,0))),0)</f>
        <v/>
      </c>
      <c r="H61" s="8" t="n">
        <v>50043.09</v>
      </c>
      <c r="I61" s="8" t="n">
        <v>3194.24</v>
      </c>
      <c r="J61" s="8">
        <f>MIN(G61,H61+I61)</f>
        <v/>
      </c>
      <c r="K61" s="8">
        <f>G61-J61</f>
        <v/>
      </c>
      <c r="L61" s="4" t="inlineStr">
        <is>
          <t>Section 1250</t>
        </is>
      </c>
      <c r="M61" s="4">
        <f>IF(AND(J61&lt;=G61,K61&gt;=0),"OK","CHECK")</f>
        <v/>
      </c>
    </row>
    <row r="62">
      <c r="A62" s="22">
        <f>'Tax Basis'!A62</f>
        <v/>
      </c>
      <c r="B62" s="22">
        <f>IFERROR(INDEX('Tax Basis'!$B$8:$B$87,MATCH($A62,'Tax Basis'!$A$8:$A$87,0)),"Review-only vintage split")</f>
        <v/>
      </c>
      <c r="C62" s="23">
        <f>IFERROR(INDEX('Tax Basis'!$D$8:$D$87,MATCH($A62,'Tax Basis'!$A$8:$A$87,0)),Sale_Date)</f>
        <v/>
      </c>
      <c r="D62" s="4" t="n">
        <v>7</v>
      </c>
      <c r="E62" s="4" t="inlineStr">
        <is>
          <t>150% DB</t>
        </is>
      </c>
      <c r="F62" s="4" t="inlineStr">
        <is>
          <t>Mid-quarter</t>
        </is>
      </c>
      <c r="G62" s="6">
        <f>IFERROR(IF(INDEX('Tax Basis'!$C$8:$C$87,MATCH($A62,'Tax Basis'!$A$8:$A$87,0))="Nondepreciable land",0,INDEX('Tax Basis'!$H$8:$H$87,MATCH($A62,'Tax Basis'!$A$8:$A$87,0))),0)</f>
        <v/>
      </c>
      <c r="H62" s="8" t="n">
        <v>55000.69</v>
      </c>
      <c r="I62" s="8" t="n">
        <v>3510.68</v>
      </c>
      <c r="J62" s="8">
        <f>MIN(G62,H62+I62)</f>
        <v/>
      </c>
      <c r="K62" s="8">
        <f>G62-J62</f>
        <v/>
      </c>
      <c r="L62" s="4" t="inlineStr">
        <is>
          <t>Section 1245</t>
        </is>
      </c>
      <c r="M62" s="4">
        <f>IF(AND(J62&lt;=G62,K62&gt;=0),"OK","CHECK")</f>
        <v/>
      </c>
    </row>
    <row r="63">
      <c r="A63" s="22">
        <f>'Tax Basis'!A63</f>
        <v/>
      </c>
      <c r="B63" s="22">
        <f>IFERROR(INDEX('Tax Basis'!$B$8:$B$87,MATCH($A63,'Tax Basis'!$A$8:$A$87,0)),"Review-only vintage split")</f>
        <v/>
      </c>
      <c r="C63" s="23">
        <f>IFERROR(INDEX('Tax Basis'!$D$8:$D$87,MATCH($A63,'Tax Basis'!$A$8:$A$87,0)),Sale_Date)</f>
        <v/>
      </c>
      <c r="D63" s="4" t="n">
        <v>5</v>
      </c>
      <c r="E63" s="4" t="inlineStr">
        <is>
          <t>200% DB</t>
        </is>
      </c>
      <c r="F63" s="4" t="inlineStr">
        <is>
          <t>Half-year</t>
        </is>
      </c>
      <c r="G63" s="6">
        <f>IFERROR(IF(INDEX('Tax Basis'!$C$8:$C$87,MATCH($A63,'Tax Basis'!$A$8:$A$87,0))="Nondepreciable land",0,INDEX('Tax Basis'!$H$8:$H$87,MATCH($A63,'Tax Basis'!$A$8:$A$87,0))),0)</f>
        <v/>
      </c>
      <c r="H63" s="8" t="n">
        <v>9655.91</v>
      </c>
      <c r="I63" s="8" t="n">
        <v>616.34</v>
      </c>
      <c r="J63" s="8">
        <f>MIN(G63,H63+I63)</f>
        <v/>
      </c>
      <c r="K63" s="8">
        <f>G63-J63</f>
        <v/>
      </c>
      <c r="L63" s="4" t="inlineStr">
        <is>
          <t>Section 1245</t>
        </is>
      </c>
      <c r="M63" s="4">
        <f>IF(AND(J63&lt;=G63,K63&gt;=0),"OK","CHECK")</f>
        <v/>
      </c>
    </row>
    <row r="64">
      <c r="A64" s="22">
        <f>'Tax Basis'!A64</f>
        <v/>
      </c>
      <c r="B64" s="22">
        <f>IFERROR(INDEX('Tax Basis'!$B$8:$B$87,MATCH($A64,'Tax Basis'!$A$8:$A$87,0)),"Review-only vintage split")</f>
        <v/>
      </c>
      <c r="C64" s="23">
        <f>IFERROR(INDEX('Tax Basis'!$D$8:$D$87,MATCH($A64,'Tax Basis'!$A$8:$A$87,0)),Sale_Date)</f>
        <v/>
      </c>
      <c r="D64" s="4" t="n">
        <v>39</v>
      </c>
      <c r="E64" s="4" t="inlineStr">
        <is>
          <t>SL</t>
        </is>
      </c>
      <c r="F64" s="4" t="inlineStr">
        <is>
          <t>Mid-month</t>
        </is>
      </c>
      <c r="G64" s="6">
        <f>IFERROR(IF(INDEX('Tax Basis'!$C$8:$C$87,MATCH($A64,'Tax Basis'!$A$8:$A$87,0))="Nondepreciable land",0,INDEX('Tax Basis'!$H$8:$H$87,MATCH($A64,'Tax Basis'!$A$8:$A$87,0))),0)</f>
        <v/>
      </c>
      <c r="H64" s="8" t="n">
        <v>14613.51</v>
      </c>
      <c r="I64" s="8" t="n">
        <v>932.78</v>
      </c>
      <c r="J64" s="8">
        <f>MIN(G64,H64+I64)</f>
        <v/>
      </c>
      <c r="K64" s="8">
        <f>G64-J64</f>
        <v/>
      </c>
      <c r="L64" s="4" t="inlineStr">
        <is>
          <t>Section 1250</t>
        </is>
      </c>
      <c r="M64" s="4">
        <f>IF(AND(J64&lt;=G64,K64&gt;=0),"OK","CHECK")</f>
        <v/>
      </c>
    </row>
    <row r="65">
      <c r="A65" s="22">
        <f>'Tax Basis'!A65</f>
        <v/>
      </c>
      <c r="B65" s="22">
        <f>IFERROR(INDEX('Tax Basis'!$B$8:$B$87,MATCH($A65,'Tax Basis'!$A$8:$A$87,0)),"Review-only vintage split")</f>
        <v/>
      </c>
      <c r="C65" s="23">
        <f>IFERROR(INDEX('Tax Basis'!$D$8:$D$87,MATCH($A65,'Tax Basis'!$A$8:$A$87,0)),Sale_Date)</f>
        <v/>
      </c>
      <c r="D65" s="4" t="n">
        <v>15</v>
      </c>
      <c r="E65" s="4" t="inlineStr">
        <is>
          <t>SL</t>
        </is>
      </c>
      <c r="F65" s="4" t="inlineStr">
        <is>
          <t>Mid-month</t>
        </is>
      </c>
      <c r="G65" s="6">
        <f>IFERROR(IF(INDEX('Tax Basis'!$C$8:$C$87,MATCH($A65,'Tax Basis'!$A$8:$A$87,0))="Nondepreciable land",0,INDEX('Tax Basis'!$H$8:$H$87,MATCH($A65,'Tax Basis'!$A$8:$A$87,0))),0)</f>
        <v/>
      </c>
      <c r="H65" s="8" t="n">
        <v>19571.1</v>
      </c>
      <c r="I65" s="8" t="n">
        <v>1249.22</v>
      </c>
      <c r="J65" s="8">
        <f>MIN(G65,H65+I65)</f>
        <v/>
      </c>
      <c r="K65" s="8">
        <f>G65-J65</f>
        <v/>
      </c>
      <c r="L65" s="4" t="inlineStr">
        <is>
          <t>Section 1250</t>
        </is>
      </c>
      <c r="M65" s="4">
        <f>IF(AND(J65&lt;=G65,K65&gt;=0),"OK","CHECK")</f>
        <v/>
      </c>
    </row>
    <row r="66">
      <c r="A66" s="22">
        <f>'Tax Basis'!A66</f>
        <v/>
      </c>
      <c r="B66" s="22">
        <f>IFERROR(INDEX('Tax Basis'!$B$8:$B$87,MATCH($A66,'Tax Basis'!$A$8:$A$87,0)),"Review-only vintage split")</f>
        <v/>
      </c>
      <c r="C66" s="23">
        <f>IFERROR(INDEX('Tax Basis'!$D$8:$D$87,MATCH($A66,'Tax Basis'!$A$8:$A$87,0)),Sale_Date)</f>
        <v/>
      </c>
      <c r="D66" s="4" t="n">
        <v>7</v>
      </c>
      <c r="E66" s="4" t="inlineStr">
        <is>
          <t>200% DB</t>
        </is>
      </c>
      <c r="F66" s="4" t="inlineStr">
        <is>
          <t>Mid-quarter</t>
        </is>
      </c>
      <c r="G66" s="6">
        <f>IFERROR(IF(INDEX('Tax Basis'!$C$8:$C$87,MATCH($A66,'Tax Basis'!$A$8:$A$87,0))="Nondepreciable land",0,INDEX('Tax Basis'!$H$8:$H$87,MATCH($A66,'Tax Basis'!$A$8:$A$87,0))),0)</f>
        <v/>
      </c>
      <c r="H66" s="8" t="n">
        <v>24528.7</v>
      </c>
      <c r="I66" s="8" t="n">
        <v>1565.66</v>
      </c>
      <c r="J66" s="8">
        <f>MIN(G66,H66+I66)</f>
        <v/>
      </c>
      <c r="K66" s="8">
        <f>G66-J66</f>
        <v/>
      </c>
      <c r="L66" s="4" t="inlineStr">
        <is>
          <t>Section 1245</t>
        </is>
      </c>
      <c r="M66" s="4">
        <f>IF(AND(J66&lt;=G66,K66&gt;=0),"OK","CHECK")</f>
        <v/>
      </c>
    </row>
    <row r="67">
      <c r="A67" s="22">
        <f>'Tax Basis'!A67</f>
        <v/>
      </c>
      <c r="B67" s="22">
        <f>IFERROR(INDEX('Tax Basis'!$B$8:$B$87,MATCH($A67,'Tax Basis'!$A$8:$A$87,0)),"Review-only vintage split")</f>
        <v/>
      </c>
      <c r="C67" s="23">
        <f>IFERROR(INDEX('Tax Basis'!$D$8:$D$87,MATCH($A67,'Tax Basis'!$A$8:$A$87,0)),Sale_Date)</f>
        <v/>
      </c>
      <c r="D67" s="4" t="n">
        <v>5</v>
      </c>
      <c r="E67" s="4" t="inlineStr">
        <is>
          <t>200% DB</t>
        </is>
      </c>
      <c r="F67" s="4" t="inlineStr">
        <is>
          <t>Half-year</t>
        </is>
      </c>
      <c r="G67" s="6">
        <f>IFERROR(IF(INDEX('Tax Basis'!$C$8:$C$87,MATCH($A67,'Tax Basis'!$A$8:$A$87,0))="Nondepreciable land",0,INDEX('Tax Basis'!$H$8:$H$87,MATCH($A67,'Tax Basis'!$A$8:$A$87,0))),0)</f>
        <v/>
      </c>
      <c r="H67" s="8" t="n">
        <v>29486.3</v>
      </c>
      <c r="I67" s="8" t="n">
        <v>1882.1</v>
      </c>
      <c r="J67" s="8">
        <f>MIN(G67,H67+I67)</f>
        <v/>
      </c>
      <c r="K67" s="8">
        <f>G67-J67</f>
        <v/>
      </c>
      <c r="L67" s="4" t="inlineStr">
        <is>
          <t>Section 1245</t>
        </is>
      </c>
      <c r="M67" s="4">
        <f>IF(AND(J67&lt;=G67,K67&gt;=0),"OK","CHECK")</f>
        <v/>
      </c>
    </row>
    <row r="68">
      <c r="A68" s="22">
        <f>'Tax Basis'!A68</f>
        <v/>
      </c>
      <c r="B68" s="22">
        <f>IFERROR(INDEX('Tax Basis'!$B$8:$B$87,MATCH($A68,'Tax Basis'!$A$8:$A$87,0)),"Review-only vintage split")</f>
        <v/>
      </c>
      <c r="C68" s="23">
        <f>IFERROR(INDEX('Tax Basis'!$D$8:$D$87,MATCH($A68,'Tax Basis'!$A$8:$A$87,0)),Sale_Date)</f>
        <v/>
      </c>
      <c r="D68" s="4" t="n">
        <v>39</v>
      </c>
      <c r="E68" s="4" t="inlineStr">
        <is>
          <t>SL</t>
        </is>
      </c>
      <c r="F68" s="4" t="inlineStr">
        <is>
          <t>Mid-month</t>
        </is>
      </c>
      <c r="G68" s="6">
        <f>IFERROR(IF(INDEX('Tax Basis'!$C$8:$C$87,MATCH($A68,'Tax Basis'!$A$8:$A$87,0))="Nondepreciable land",0,INDEX('Tax Basis'!$H$8:$H$87,MATCH($A68,'Tax Basis'!$A$8:$A$87,0))),0)</f>
        <v/>
      </c>
      <c r="H68" s="8" t="n">
        <v>34443.88</v>
      </c>
      <c r="I68" s="8" t="n">
        <v>2198.55</v>
      </c>
      <c r="J68" s="8">
        <f>MIN(G68,H68+I68)</f>
        <v/>
      </c>
      <c r="K68" s="8">
        <f>G68-J68</f>
        <v/>
      </c>
      <c r="L68" s="4" t="inlineStr">
        <is>
          <t>Section 1250</t>
        </is>
      </c>
      <c r="M68" s="4">
        <f>IF(AND(J68&lt;=G68,K68&gt;=0),"OK","CHECK")</f>
        <v/>
      </c>
    </row>
    <row r="69">
      <c r="A69" s="22">
        <f>'Tax Basis'!A69</f>
        <v/>
      </c>
      <c r="B69" s="22">
        <f>IFERROR(INDEX('Tax Basis'!$B$8:$B$87,MATCH($A69,'Tax Basis'!$A$8:$A$87,0)),"Review-only vintage split")</f>
        <v/>
      </c>
      <c r="C69" s="23">
        <f>IFERROR(INDEX('Tax Basis'!$D$8:$D$87,MATCH($A69,'Tax Basis'!$A$8:$A$87,0)),Sale_Date)</f>
        <v/>
      </c>
      <c r="D69" s="4" t="n">
        <v>15</v>
      </c>
      <c r="E69" s="4" t="inlineStr">
        <is>
          <t>SL</t>
        </is>
      </c>
      <c r="F69" s="4" t="inlineStr">
        <is>
          <t>Mid-month</t>
        </is>
      </c>
      <c r="G69" s="6">
        <f>IFERROR(IF(INDEX('Tax Basis'!$C$8:$C$87,MATCH($A69,'Tax Basis'!$A$8:$A$87,0))="Nondepreciable land",0,INDEX('Tax Basis'!$H$8:$H$87,MATCH($A69,'Tax Basis'!$A$8:$A$87,0))),0)</f>
        <v/>
      </c>
      <c r="H69" s="8" t="n">
        <v>39401.48</v>
      </c>
      <c r="I69" s="8" t="n">
        <v>2514.99</v>
      </c>
      <c r="J69" s="8">
        <f>MIN(G69,H69+I69)</f>
        <v/>
      </c>
      <c r="K69" s="8">
        <f>G69-J69</f>
        <v/>
      </c>
      <c r="L69" s="4" t="inlineStr">
        <is>
          <t>Section 1250</t>
        </is>
      </c>
      <c r="M69" s="4">
        <f>IF(AND(J69&lt;=G69,K69&gt;=0),"OK","CHECK")</f>
        <v/>
      </c>
    </row>
    <row r="70">
      <c r="A70" s="22">
        <f>'Tax Basis'!A70</f>
        <v/>
      </c>
      <c r="B70" s="22">
        <f>IFERROR(INDEX('Tax Basis'!$B$8:$B$87,MATCH($A70,'Tax Basis'!$A$8:$A$87,0)),"Review-only vintage split")</f>
        <v/>
      </c>
      <c r="C70" s="23">
        <f>IFERROR(INDEX('Tax Basis'!$D$8:$D$87,MATCH($A70,'Tax Basis'!$A$8:$A$87,0)),Sale_Date)</f>
        <v/>
      </c>
      <c r="D70" s="4" t="n">
        <v>7</v>
      </c>
      <c r="E70" s="4" t="inlineStr">
        <is>
          <t>200% DB</t>
        </is>
      </c>
      <c r="F70" s="4" t="inlineStr">
        <is>
          <t>Mid-quarter</t>
        </is>
      </c>
      <c r="G70" s="6">
        <f>IFERROR(IF(INDEX('Tax Basis'!$C$8:$C$87,MATCH($A70,'Tax Basis'!$A$8:$A$87,0))="Nondepreciable land",0,INDEX('Tax Basis'!$H$8:$H$87,MATCH($A70,'Tax Basis'!$A$8:$A$87,0))),0)</f>
        <v/>
      </c>
      <c r="H70" s="8" t="n">
        <v>44359.08</v>
      </c>
      <c r="I70" s="8" t="n">
        <v>2831.43</v>
      </c>
      <c r="J70" s="8">
        <f>MIN(G70,H70+I70)</f>
        <v/>
      </c>
      <c r="K70" s="8">
        <f>G70-J70</f>
        <v/>
      </c>
      <c r="L70" s="4" t="inlineStr">
        <is>
          <t>Section 1245</t>
        </is>
      </c>
      <c r="M70" s="4">
        <f>IF(AND(J70&lt;=G70,K70&gt;=0),"OK","CHECK")</f>
        <v/>
      </c>
    </row>
    <row r="71">
      <c r="A71" s="22">
        <f>'Tax Basis'!A71</f>
        <v/>
      </c>
      <c r="B71" s="22">
        <f>IFERROR(INDEX('Tax Basis'!$B$8:$B$87,MATCH($A71,'Tax Basis'!$A$8:$A$87,0)),"Review-only vintage split")</f>
        <v/>
      </c>
      <c r="C71" s="23">
        <f>IFERROR(INDEX('Tax Basis'!$D$8:$D$87,MATCH($A71,'Tax Basis'!$A$8:$A$87,0)),Sale_Date)</f>
        <v/>
      </c>
      <c r="D71" s="4" t="n">
        <v>5</v>
      </c>
      <c r="E71" s="4" t="inlineStr">
        <is>
          <t>150% DB</t>
        </is>
      </c>
      <c r="F71" s="4" t="inlineStr">
        <is>
          <t>Half-year</t>
        </is>
      </c>
      <c r="G71" s="6">
        <f>IFERROR(IF(INDEX('Tax Basis'!$C$8:$C$87,MATCH($A71,'Tax Basis'!$A$8:$A$87,0))="Nondepreciable land",0,INDEX('Tax Basis'!$H$8:$H$87,MATCH($A71,'Tax Basis'!$A$8:$A$87,0))),0)</f>
        <v/>
      </c>
      <c r="H71" s="8" t="n">
        <v>48833.58</v>
      </c>
      <c r="I71" s="8" t="n">
        <v>3117.04</v>
      </c>
      <c r="J71" s="8">
        <f>MIN(G71,H71+I71)</f>
        <v/>
      </c>
      <c r="K71" s="8">
        <f>G71-J71</f>
        <v/>
      </c>
      <c r="L71" s="4" t="inlineStr">
        <is>
          <t>Section 1245</t>
        </is>
      </c>
      <c r="M71" s="4">
        <f>IF(AND(J71&lt;=G71,K71&gt;=0),"OK","CHECK")</f>
        <v/>
      </c>
    </row>
    <row r="72">
      <c r="A72" s="22">
        <f>'Tax Basis'!A72</f>
        <v/>
      </c>
      <c r="B72" s="22">
        <f>IFERROR(INDEX('Tax Basis'!$B$8:$B$87,MATCH($A72,'Tax Basis'!$A$8:$A$87,0)),"Review-only vintage split")</f>
        <v/>
      </c>
      <c r="C72" s="23">
        <f>IFERROR(INDEX('Tax Basis'!$D$8:$D$87,MATCH($A72,'Tax Basis'!$A$8:$A$87,0)),Sale_Date)</f>
        <v/>
      </c>
      <c r="D72" s="4" t="n">
        <v>39</v>
      </c>
      <c r="E72" s="4" t="inlineStr">
        <is>
          <t>SL</t>
        </is>
      </c>
      <c r="F72" s="4" t="inlineStr">
        <is>
          <t>Mid-month</t>
        </is>
      </c>
      <c r="G72" s="6">
        <f>IFERROR(IF(INDEX('Tax Basis'!$C$8:$C$87,MATCH($A72,'Tax Basis'!$A$8:$A$87,0))="Nondepreciable land",0,INDEX('Tax Basis'!$H$8:$H$87,MATCH($A72,'Tax Basis'!$A$8:$A$87,0))),0)</f>
        <v/>
      </c>
      <c r="H72" s="8" t="n">
        <v>54274.27</v>
      </c>
      <c r="I72" s="8" t="n">
        <v>3464.32</v>
      </c>
      <c r="J72" s="8">
        <f>MIN(G72,H72+I72)</f>
        <v/>
      </c>
      <c r="K72" s="8">
        <f>G72-J72</f>
        <v/>
      </c>
      <c r="L72" s="4" t="inlineStr">
        <is>
          <t>Section 1250</t>
        </is>
      </c>
      <c r="M72" s="4">
        <f>IF(AND(J72&lt;=G72,K72&gt;=0),"OK","CHECK")</f>
        <v/>
      </c>
    </row>
    <row r="73">
      <c r="A73" s="22">
        <f>'Tax Basis'!A73</f>
        <v/>
      </c>
      <c r="B73" s="22">
        <f>IFERROR(INDEX('Tax Basis'!$B$8:$B$87,MATCH($A73,'Tax Basis'!$A$8:$A$87,0)),"Review-only vintage split")</f>
        <v/>
      </c>
      <c r="C73" s="23">
        <f>IFERROR(INDEX('Tax Basis'!$D$8:$D$87,MATCH($A73,'Tax Basis'!$A$8:$A$87,0)),Sale_Date)</f>
        <v/>
      </c>
      <c r="D73" s="4" t="n">
        <v>15</v>
      </c>
      <c r="E73" s="4" t="inlineStr">
        <is>
          <t>SL</t>
        </is>
      </c>
      <c r="F73" s="4" t="inlineStr">
        <is>
          <t>Mid-month</t>
        </is>
      </c>
      <c r="G73" s="6">
        <f>IFERROR(IF(INDEX('Tax Basis'!$C$8:$C$87,MATCH($A73,'Tax Basis'!$A$8:$A$87,0))="Nondepreciable land",0,INDEX('Tax Basis'!$H$8:$H$87,MATCH($A73,'Tax Basis'!$A$8:$A$87,0))),0)</f>
        <v/>
      </c>
      <c r="H73" s="8" t="n">
        <v>59231.86</v>
      </c>
      <c r="I73" s="8" t="n">
        <v>3780.76</v>
      </c>
      <c r="J73" s="8">
        <f>MIN(G73,H73+I73)</f>
        <v/>
      </c>
      <c r="K73" s="8">
        <f>G73-J73</f>
        <v/>
      </c>
      <c r="L73" s="4" t="inlineStr">
        <is>
          <t>Section 1250</t>
        </is>
      </c>
      <c r="M73" s="4">
        <f>IF(AND(J73&lt;=G73,K73&gt;=0),"OK","CHECK")</f>
        <v/>
      </c>
    </row>
    <row r="74">
      <c r="A74" s="22">
        <f>'Tax Basis'!A74</f>
        <v/>
      </c>
      <c r="B74" s="22">
        <f>IFERROR(INDEX('Tax Basis'!$B$8:$B$87,MATCH($A74,'Tax Basis'!$A$8:$A$87,0)),"Review-only vintage split")</f>
        <v/>
      </c>
      <c r="C74" s="23">
        <f>IFERROR(INDEX('Tax Basis'!$D$8:$D$87,MATCH($A74,'Tax Basis'!$A$8:$A$87,0)),Sale_Date)</f>
        <v/>
      </c>
      <c r="D74" s="4" t="n">
        <v>7</v>
      </c>
      <c r="E74" s="4" t="inlineStr">
        <is>
          <t>150% DB</t>
        </is>
      </c>
      <c r="F74" s="4" t="inlineStr">
        <is>
          <t>Mid-quarter</t>
        </is>
      </c>
      <c r="G74" s="6">
        <f>IFERROR(IF(INDEX('Tax Basis'!$C$8:$C$87,MATCH($A74,'Tax Basis'!$A$8:$A$87,0))="Nondepreciable land",0,INDEX('Tax Basis'!$H$8:$H$87,MATCH($A74,'Tax Basis'!$A$8:$A$87,0))),0)</f>
        <v/>
      </c>
      <c r="H74" s="8" t="n">
        <v>13887.09</v>
      </c>
      <c r="I74" s="8" t="n">
        <v>886.41</v>
      </c>
      <c r="J74" s="8">
        <f>MIN(G74,H74+I74)</f>
        <v/>
      </c>
      <c r="K74" s="8">
        <f>G74-J74</f>
        <v/>
      </c>
      <c r="L74" s="4" t="inlineStr">
        <is>
          <t>Section 1245</t>
        </is>
      </c>
      <c r="M74" s="4">
        <f>IF(AND(J74&lt;=G74,K74&gt;=0),"OK","CHECK")</f>
        <v/>
      </c>
    </row>
    <row r="75">
      <c r="A75" s="22">
        <f>'Tax Basis'!A75</f>
        <v/>
      </c>
      <c r="B75" s="22">
        <f>IFERROR(INDEX('Tax Basis'!$B$8:$B$87,MATCH($A75,'Tax Basis'!$A$8:$A$87,0)),"Review-only vintage split")</f>
        <v/>
      </c>
      <c r="C75" s="23">
        <f>IFERROR(INDEX('Tax Basis'!$D$8:$D$87,MATCH($A75,'Tax Basis'!$A$8:$A$87,0)),Sale_Date)</f>
        <v/>
      </c>
      <c r="D75" s="4" t="n">
        <v>5</v>
      </c>
      <c r="E75" s="4" t="inlineStr">
        <is>
          <t>200% DB</t>
        </is>
      </c>
      <c r="F75" s="4" t="inlineStr">
        <is>
          <t>Half-year</t>
        </is>
      </c>
      <c r="G75" s="6">
        <f>IFERROR(IF(INDEX('Tax Basis'!$C$8:$C$87,MATCH($A75,'Tax Basis'!$A$8:$A$87,0))="Nondepreciable land",0,INDEX('Tax Basis'!$H$8:$H$87,MATCH($A75,'Tax Basis'!$A$8:$A$87,0))),0)</f>
        <v/>
      </c>
      <c r="H75" s="8" t="n">
        <v>18844.68</v>
      </c>
      <c r="I75" s="8" t="n">
        <v>1202.85</v>
      </c>
      <c r="J75" s="8">
        <f>MIN(G75,H75+I75)</f>
        <v/>
      </c>
      <c r="K75" s="8">
        <f>G75-J75</f>
        <v/>
      </c>
      <c r="L75" s="4" t="inlineStr">
        <is>
          <t>Section 1245</t>
        </is>
      </c>
      <c r="M75" s="4">
        <f>IF(AND(J75&lt;=G75,K75&gt;=0),"OK","CHECK")</f>
        <v/>
      </c>
    </row>
    <row r="76">
      <c r="A76" s="22">
        <f>'Tax Basis'!A76</f>
        <v/>
      </c>
      <c r="B76" s="22">
        <f>IFERROR(INDEX('Tax Basis'!$B$8:$B$87,MATCH($A76,'Tax Basis'!$A$8:$A$87,0)),"Review-only vintage split")</f>
        <v/>
      </c>
      <c r="C76" s="23">
        <f>IFERROR(INDEX('Tax Basis'!$D$8:$D$87,MATCH($A76,'Tax Basis'!$A$8:$A$87,0)),Sale_Date)</f>
        <v/>
      </c>
      <c r="D76" s="4" t="n">
        <v>39</v>
      </c>
      <c r="E76" s="4" t="inlineStr">
        <is>
          <t>SL</t>
        </is>
      </c>
      <c r="F76" s="4" t="inlineStr">
        <is>
          <t>Mid-month</t>
        </is>
      </c>
      <c r="G76" s="6">
        <f>IFERROR(IF(INDEX('Tax Basis'!$C$8:$C$87,MATCH($A76,'Tax Basis'!$A$8:$A$87,0))="Nondepreciable land",0,INDEX('Tax Basis'!$H$8:$H$87,MATCH($A76,'Tax Basis'!$A$8:$A$87,0))),0)</f>
        <v/>
      </c>
      <c r="H76" s="8" t="n">
        <v>23802.28</v>
      </c>
      <c r="I76" s="8" t="n">
        <v>1519.29</v>
      </c>
      <c r="J76" s="8">
        <f>MIN(G76,H76+I76)</f>
        <v/>
      </c>
      <c r="K76" s="8">
        <f>G76-J76</f>
        <v/>
      </c>
      <c r="L76" s="4" t="inlineStr">
        <is>
          <t>Section 1250</t>
        </is>
      </c>
      <c r="M76" s="4">
        <f>IF(AND(J76&lt;=G76,K76&gt;=0),"OK","CHECK")</f>
        <v/>
      </c>
    </row>
    <row r="77">
      <c r="A77" s="22">
        <f>'Tax Basis'!A77</f>
        <v/>
      </c>
      <c r="B77" s="22">
        <f>IFERROR(INDEX('Tax Basis'!$B$8:$B$87,MATCH($A77,'Tax Basis'!$A$8:$A$87,0)),"Review-only vintage split")</f>
        <v/>
      </c>
      <c r="C77" s="23">
        <f>IFERROR(INDEX('Tax Basis'!$D$8:$D$87,MATCH($A77,'Tax Basis'!$A$8:$A$87,0)),Sale_Date)</f>
        <v/>
      </c>
      <c r="D77" s="4" t="n">
        <v>15</v>
      </c>
      <c r="E77" s="4" t="inlineStr">
        <is>
          <t>SL</t>
        </is>
      </c>
      <c r="F77" s="4" t="inlineStr">
        <is>
          <t>Mid-month</t>
        </is>
      </c>
      <c r="G77" s="6">
        <f>IFERROR(IF(INDEX('Tax Basis'!$C$8:$C$87,MATCH($A77,'Tax Basis'!$A$8:$A$87,0))="Nondepreciable land",0,INDEX('Tax Basis'!$H$8:$H$87,MATCH($A77,'Tax Basis'!$A$8:$A$87,0))),0)</f>
        <v/>
      </c>
      <c r="H77" s="8" t="n">
        <v>28759.87</v>
      </c>
      <c r="I77" s="8" t="n">
        <v>1835.74</v>
      </c>
      <c r="J77" s="8">
        <f>MIN(G77,H77+I77)</f>
        <v/>
      </c>
      <c r="K77" s="8">
        <f>G77-J77</f>
        <v/>
      </c>
      <c r="L77" s="4" t="inlineStr">
        <is>
          <t>Section 1250</t>
        </is>
      </c>
      <c r="M77" s="4">
        <f>IF(AND(J77&lt;=G77,K77&gt;=0),"OK","CHECK")</f>
        <v/>
      </c>
    </row>
    <row r="78">
      <c r="A78" s="22">
        <f>'Tax Basis'!A78</f>
        <v/>
      </c>
      <c r="B78" s="22">
        <f>IFERROR(INDEX('Tax Basis'!$B$8:$B$87,MATCH($A78,'Tax Basis'!$A$8:$A$87,0)),"Review-only vintage split")</f>
        <v/>
      </c>
      <c r="C78" s="23">
        <f>IFERROR(INDEX('Tax Basis'!$D$8:$D$87,MATCH($A78,'Tax Basis'!$A$8:$A$87,0)),Sale_Date)</f>
        <v/>
      </c>
      <c r="D78" s="4" t="n">
        <v>7</v>
      </c>
      <c r="E78" s="4" t="inlineStr">
        <is>
          <t>200% DB</t>
        </is>
      </c>
      <c r="F78" s="4" t="inlineStr">
        <is>
          <t>Mid-quarter</t>
        </is>
      </c>
      <c r="G78" s="6">
        <f>IFERROR(IF(INDEX('Tax Basis'!$C$8:$C$87,MATCH($A78,'Tax Basis'!$A$8:$A$87,0))="Nondepreciable land",0,INDEX('Tax Basis'!$H$8:$H$87,MATCH($A78,'Tax Basis'!$A$8:$A$87,0))),0)</f>
        <v/>
      </c>
      <c r="H78" s="8" t="n">
        <v>33717.47</v>
      </c>
      <c r="I78" s="8" t="n">
        <v>2152.18</v>
      </c>
      <c r="J78" s="8">
        <f>MIN(G78,H78+I78)</f>
        <v/>
      </c>
      <c r="K78" s="8">
        <f>G78-J78</f>
        <v/>
      </c>
      <c r="L78" s="4" t="inlineStr">
        <is>
          <t>Section 1245</t>
        </is>
      </c>
      <c r="M78" s="4">
        <f>IF(AND(J78&lt;=G78,K78&gt;=0),"OK","CHECK")</f>
        <v/>
      </c>
    </row>
    <row r="79">
      <c r="A79" s="22">
        <f>'Tax Basis'!A79</f>
        <v/>
      </c>
      <c r="B79" s="22">
        <f>IFERROR(INDEX('Tax Basis'!$B$8:$B$87,MATCH($A79,'Tax Basis'!$A$8:$A$87,0)),"Review-only vintage split")</f>
        <v/>
      </c>
      <c r="C79" s="23">
        <f>IFERROR(INDEX('Tax Basis'!$D$8:$D$87,MATCH($A79,'Tax Basis'!$A$8:$A$87,0)),Sale_Date)</f>
        <v/>
      </c>
      <c r="D79" s="4" t="n">
        <v>5</v>
      </c>
      <c r="E79" s="4" t="inlineStr">
        <is>
          <t>200% DB</t>
        </is>
      </c>
      <c r="F79" s="4" t="inlineStr">
        <is>
          <t>Half-year</t>
        </is>
      </c>
      <c r="G79" s="6">
        <f>IFERROR(IF(INDEX('Tax Basis'!$C$8:$C$87,MATCH($A79,'Tax Basis'!$A$8:$A$87,0))="Nondepreciable land",0,INDEX('Tax Basis'!$H$8:$H$87,MATCH($A79,'Tax Basis'!$A$8:$A$87,0))),0)</f>
        <v/>
      </c>
      <c r="H79" s="8" t="n">
        <v>38675.07</v>
      </c>
      <c r="I79" s="8" t="n">
        <v>2468.62</v>
      </c>
      <c r="J79" s="8">
        <f>MIN(G79,H79+I79)</f>
        <v/>
      </c>
      <c r="K79" s="8">
        <f>G79-J79</f>
        <v/>
      </c>
      <c r="L79" s="4" t="inlineStr">
        <is>
          <t>Section 1245</t>
        </is>
      </c>
      <c r="M79" s="4">
        <f>IF(AND(J79&lt;=G79,K79&gt;=0),"OK","CHECK")</f>
        <v/>
      </c>
    </row>
    <row r="80">
      <c r="A80" s="22">
        <f>'Tax Basis'!A80</f>
        <v/>
      </c>
      <c r="B80" s="22">
        <f>IFERROR(INDEX('Tax Basis'!$B$8:$B$87,MATCH($A80,'Tax Basis'!$A$8:$A$87,0)),"Review-only vintage split")</f>
        <v/>
      </c>
      <c r="C80" s="23">
        <f>IFERROR(INDEX('Tax Basis'!$D$8:$D$87,MATCH($A80,'Tax Basis'!$A$8:$A$87,0)),Sale_Date)</f>
        <v/>
      </c>
      <c r="D80" s="4" t="n">
        <v>39</v>
      </c>
      <c r="E80" s="4" t="inlineStr">
        <is>
          <t>SL</t>
        </is>
      </c>
      <c r="F80" s="4" t="inlineStr">
        <is>
          <t>Mid-month</t>
        </is>
      </c>
      <c r="G80" s="6">
        <f>IFERROR(IF(INDEX('Tax Basis'!$C$8:$C$87,MATCH($A80,'Tax Basis'!$A$8:$A$87,0))="Nondepreciable land",0,INDEX('Tax Basis'!$H$8:$H$87,MATCH($A80,'Tax Basis'!$A$8:$A$87,0))),0)</f>
        <v/>
      </c>
      <c r="H80" s="8" t="n">
        <v>43632.66</v>
      </c>
      <c r="I80" s="8" t="n">
        <v>2785.06</v>
      </c>
      <c r="J80" s="8">
        <f>MIN(G80,H80+I80)</f>
        <v/>
      </c>
      <c r="K80" s="8">
        <f>G80-J80</f>
        <v/>
      </c>
      <c r="L80" s="4" t="inlineStr">
        <is>
          <t>Section 1250</t>
        </is>
      </c>
      <c r="M80" s="4">
        <f>IF(AND(J80&lt;=G80,K80&gt;=0),"OK","CHECK")</f>
        <v/>
      </c>
    </row>
    <row r="81">
      <c r="A81" s="22">
        <f>'Tax Basis'!A81</f>
        <v/>
      </c>
      <c r="B81" s="22">
        <f>IFERROR(INDEX('Tax Basis'!$B$8:$B$87,MATCH($A81,'Tax Basis'!$A$8:$A$87,0)),"Review-only vintage split")</f>
        <v/>
      </c>
      <c r="C81" s="23">
        <f>IFERROR(INDEX('Tax Basis'!$D$8:$D$87,MATCH($A81,'Tax Basis'!$A$8:$A$87,0)),Sale_Date)</f>
        <v/>
      </c>
      <c r="D81" s="4" t="n">
        <v>15</v>
      </c>
      <c r="E81" s="4" t="inlineStr">
        <is>
          <t>SL</t>
        </is>
      </c>
      <c r="F81" s="4" t="inlineStr">
        <is>
          <t>Mid-month</t>
        </is>
      </c>
      <c r="G81" s="6">
        <f>IFERROR(IF(INDEX('Tax Basis'!$C$8:$C$87,MATCH($A81,'Tax Basis'!$A$8:$A$87,0))="Nondepreciable land",0,INDEX('Tax Basis'!$H$8:$H$87,MATCH($A81,'Tax Basis'!$A$8:$A$87,0))),0)</f>
        <v/>
      </c>
      <c r="H81" s="8" t="n">
        <v>43627.99</v>
      </c>
      <c r="I81" s="8" t="n">
        <v>2784.77</v>
      </c>
      <c r="J81" s="8">
        <f>MIN(G81,H81+I81)</f>
        <v/>
      </c>
      <c r="K81" s="8">
        <f>G81-J81</f>
        <v/>
      </c>
      <c r="L81" s="4" t="inlineStr">
        <is>
          <t>Section 1250</t>
        </is>
      </c>
      <c r="M81" s="4">
        <f>IF(AND(J81&lt;=G81,K81&gt;=0),"OK","CHECK")</f>
        <v/>
      </c>
    </row>
    <row r="82">
      <c r="A82" s="22">
        <f>'Tax Basis'!A82</f>
        <v/>
      </c>
      <c r="B82" s="22">
        <f>IFERROR(INDEX('Tax Basis'!$B$8:$B$87,MATCH($A82,'Tax Basis'!$A$8:$A$87,0)),"Review-only vintage split")</f>
        <v/>
      </c>
      <c r="C82" s="23">
        <f>IFERROR(INDEX('Tax Basis'!$D$8:$D$87,MATCH($A82,'Tax Basis'!$A$8:$A$87,0)),Sale_Date)</f>
        <v/>
      </c>
      <c r="D82" s="4" t="n">
        <v>7</v>
      </c>
      <c r="E82" s="4" t="inlineStr">
        <is>
          <t>200% DB</t>
        </is>
      </c>
      <c r="F82" s="4" t="inlineStr">
        <is>
          <t>Mid-quarter</t>
        </is>
      </c>
      <c r="G82" s="6">
        <f>IFERROR(IF(INDEX('Tax Basis'!$C$8:$C$87,MATCH($A82,'Tax Basis'!$A$8:$A$87,0))="Nondepreciable land",0,INDEX('Tax Basis'!$H$8:$H$87,MATCH($A82,'Tax Basis'!$A$8:$A$87,0))),0)</f>
        <v/>
      </c>
      <c r="H82" s="8" t="n">
        <v>48585.59</v>
      </c>
      <c r="I82" s="8" t="n">
        <v>3101.21</v>
      </c>
      <c r="J82" s="8">
        <f>MIN(G82,H82+I82)</f>
        <v/>
      </c>
      <c r="K82" s="8">
        <f>G82-J82</f>
        <v/>
      </c>
      <c r="L82" s="4" t="inlineStr">
        <is>
          <t>Section 1245</t>
        </is>
      </c>
      <c r="M82" s="4">
        <f>IF(AND(J82&lt;=G82,K82&gt;=0),"OK","CHECK")</f>
        <v/>
      </c>
    </row>
    <row r="83">
      <c r="A83" s="22">
        <f>'Tax Basis'!A83</f>
        <v/>
      </c>
      <c r="B83" s="22">
        <f>IFERROR(INDEX('Tax Basis'!$B$8:$B$87,MATCH($A83,'Tax Basis'!$A$8:$A$87,0)),"Review-only vintage split")</f>
        <v/>
      </c>
      <c r="C83" s="23">
        <f>IFERROR(INDEX('Tax Basis'!$D$8:$D$87,MATCH($A83,'Tax Basis'!$A$8:$A$87,0)),Sale_Date)</f>
        <v/>
      </c>
      <c r="D83" s="4" t="n">
        <v>5</v>
      </c>
      <c r="E83" s="4" t="inlineStr">
        <is>
          <t>150% DB</t>
        </is>
      </c>
      <c r="F83" s="4" t="inlineStr">
        <is>
          <t>Half-year</t>
        </is>
      </c>
      <c r="G83" s="6">
        <f>IFERROR(IF(INDEX('Tax Basis'!$C$8:$C$87,MATCH($A83,'Tax Basis'!$A$8:$A$87,0))="Nondepreciable land",0,INDEX('Tax Basis'!$H$8:$H$87,MATCH($A83,'Tax Basis'!$A$8:$A$87,0))),0)</f>
        <v/>
      </c>
      <c r="H83" s="8" t="n">
        <v>53543.18</v>
      </c>
      <c r="I83" s="8" t="n">
        <v>3417.65</v>
      </c>
      <c r="J83" s="8">
        <f>MIN(G83,H83+I83)</f>
        <v/>
      </c>
      <c r="K83" s="8">
        <f>G83-J83</f>
        <v/>
      </c>
      <c r="L83" s="4" t="inlineStr">
        <is>
          <t>Section 1245</t>
        </is>
      </c>
      <c r="M83" s="4">
        <f>IF(AND(J83&lt;=G83,K83&gt;=0),"OK","CHECK")</f>
        <v/>
      </c>
    </row>
    <row r="84">
      <c r="A84" s="22">
        <f>'Tax Basis'!A84</f>
        <v/>
      </c>
      <c r="B84" s="22">
        <f>IFERROR(INDEX('Tax Basis'!$B$8:$B$87,MATCH($A84,'Tax Basis'!$A$8:$A$87,0)),"Review-only vintage split")</f>
        <v/>
      </c>
      <c r="C84" s="23">
        <f>IFERROR(INDEX('Tax Basis'!$D$8:$D$87,MATCH($A84,'Tax Basis'!$A$8:$A$87,0)),Sale_Date)</f>
        <v/>
      </c>
      <c r="D84" s="4" t="n">
        <v>39</v>
      </c>
      <c r="E84" s="4" t="inlineStr">
        <is>
          <t>SL</t>
        </is>
      </c>
      <c r="F84" s="4" t="inlineStr">
        <is>
          <t>Mid-month</t>
        </is>
      </c>
      <c r="G84" s="6">
        <f>IFERROR(IF(INDEX('Tax Basis'!$C$8:$C$87,MATCH($A84,'Tax Basis'!$A$8:$A$87,0))="Nondepreciable land",0,INDEX('Tax Basis'!$H$8:$H$87,MATCH($A84,'Tax Basis'!$A$8:$A$87,0))),0)</f>
        <v/>
      </c>
      <c r="H84" s="8" t="n">
        <v>58500.78</v>
      </c>
      <c r="I84" s="8" t="n">
        <v>3734.09</v>
      </c>
      <c r="J84" s="8">
        <f>MIN(G84,H84+I84)</f>
        <v/>
      </c>
      <c r="K84" s="8">
        <f>G84-J84</f>
        <v/>
      </c>
      <c r="L84" s="4" t="inlineStr">
        <is>
          <t>Section 1250</t>
        </is>
      </c>
      <c r="M84" s="4">
        <f>IF(AND(J84&lt;=G84,K84&gt;=0),"OK","CHECK")</f>
        <v/>
      </c>
    </row>
    <row r="85">
      <c r="A85" s="22">
        <f>'Tax Basis'!A85</f>
        <v/>
      </c>
      <c r="B85" s="22">
        <f>IFERROR(INDEX('Tax Basis'!$B$8:$B$87,MATCH($A85,'Tax Basis'!$A$8:$A$87,0)),"Review-only vintage split")</f>
        <v/>
      </c>
      <c r="C85" s="23">
        <f>IFERROR(INDEX('Tax Basis'!$D$8:$D$87,MATCH($A85,'Tax Basis'!$A$8:$A$87,0)),Sale_Date)</f>
        <v/>
      </c>
      <c r="D85" s="4" t="n">
        <v>15</v>
      </c>
      <c r="E85" s="4" t="inlineStr">
        <is>
          <t>SL</t>
        </is>
      </c>
      <c r="F85" s="4" t="inlineStr">
        <is>
          <t>Mid-month</t>
        </is>
      </c>
      <c r="G85" s="6">
        <f>IFERROR(IF(INDEX('Tax Basis'!$C$8:$C$87,MATCH($A85,'Tax Basis'!$A$8:$A$87,0))="Nondepreciable land",0,INDEX('Tax Basis'!$H$8:$H$87,MATCH($A85,'Tax Basis'!$A$8:$A$87,0))),0)</f>
        <v/>
      </c>
      <c r="H85" s="8" t="n">
        <v>13156</v>
      </c>
      <c r="I85" s="8" t="n">
        <v>839.74</v>
      </c>
      <c r="J85" s="8">
        <f>MIN(G85,H85+I85)</f>
        <v/>
      </c>
      <c r="K85" s="8">
        <f>G85-J85</f>
        <v/>
      </c>
      <c r="L85" s="4" t="inlineStr">
        <is>
          <t>Section 1250</t>
        </is>
      </c>
      <c r="M85" s="4">
        <f>IF(AND(J85&lt;=G85,K85&gt;=0),"OK","CHECK")</f>
        <v/>
      </c>
    </row>
    <row r="86">
      <c r="A86" s="22">
        <f>'Tax Basis'!A86</f>
        <v/>
      </c>
      <c r="B86" s="22">
        <f>IFERROR(INDEX('Tax Basis'!$B$8:$B$87,MATCH($A86,'Tax Basis'!$A$8:$A$87,0)),"Review-only vintage split")</f>
        <v/>
      </c>
      <c r="C86" s="23">
        <f>IFERROR(INDEX('Tax Basis'!$D$8:$D$87,MATCH($A86,'Tax Basis'!$A$8:$A$87,0)),Sale_Date)</f>
        <v/>
      </c>
      <c r="D86" s="4" t="n">
        <v>7</v>
      </c>
      <c r="E86" s="4" t="inlineStr">
        <is>
          <t>150% DB</t>
        </is>
      </c>
      <c r="F86" s="4" t="inlineStr">
        <is>
          <t>Mid-quarter</t>
        </is>
      </c>
      <c r="G86" s="6">
        <f>IFERROR(IF(INDEX('Tax Basis'!$C$8:$C$87,MATCH($A86,'Tax Basis'!$A$8:$A$87,0))="Nondepreciable land",0,INDEX('Tax Basis'!$H$8:$H$87,MATCH($A86,'Tax Basis'!$A$8:$A$87,0))),0)</f>
        <v/>
      </c>
      <c r="H86" s="8" t="n">
        <v>18113.59</v>
      </c>
      <c r="I86" s="8" t="n">
        <v>1156.19</v>
      </c>
      <c r="J86" s="8">
        <f>MIN(G86,H86+I86)</f>
        <v/>
      </c>
      <c r="K86" s="8">
        <f>G86-J86</f>
        <v/>
      </c>
      <c r="L86" s="4" t="inlineStr">
        <is>
          <t>Section 1245</t>
        </is>
      </c>
      <c r="M86" s="4">
        <f>IF(AND(J86&lt;=G86,K86&gt;=0),"OK","CHECK")</f>
        <v/>
      </c>
    </row>
    <row r="87">
      <c r="A87" s="22">
        <f>'Tax Basis'!A87</f>
        <v/>
      </c>
      <c r="B87" s="22">
        <f>IFERROR(INDEX('Tax Basis'!$B$8:$B$87,MATCH($A87,'Tax Basis'!$A$8:$A$87,0)),"Review-only vintage split")</f>
        <v/>
      </c>
      <c r="C87" s="23">
        <f>IFERROR(INDEX('Tax Basis'!$D$8:$D$87,MATCH($A87,'Tax Basis'!$A$8:$A$87,0)),Sale_Date)</f>
        <v/>
      </c>
      <c r="D87" s="4" t="n">
        <v>5</v>
      </c>
      <c r="E87" s="4" t="inlineStr">
        <is>
          <t>200% DB</t>
        </is>
      </c>
      <c r="F87" s="4" t="inlineStr">
        <is>
          <t>Half-year</t>
        </is>
      </c>
      <c r="G87" s="6">
        <f>IFERROR(IF(INDEX('Tax Basis'!$C$8:$C$87,MATCH($A87,'Tax Basis'!$A$8:$A$87,0))="Nondepreciable land",0,INDEX('Tax Basis'!$H$8:$H$87,MATCH($A87,'Tax Basis'!$A$8:$A$87,0))),0)</f>
        <v/>
      </c>
      <c r="H87" s="8" t="n">
        <v>23071.25</v>
      </c>
      <c r="I87" s="8" t="n">
        <v>1472.63</v>
      </c>
      <c r="J87" s="8">
        <f>MIN(G87,H87+I87)</f>
        <v/>
      </c>
      <c r="K87" s="8">
        <f>G87-J87</f>
        <v/>
      </c>
      <c r="L87" s="4" t="inlineStr">
        <is>
          <t>Section 1245</t>
        </is>
      </c>
      <c r="M87" s="4">
        <f>IF(AND(J87&lt;=G87,K87&gt;=0),"OK","CHECK")</f>
        <v/>
      </c>
    </row>
    <row r="88">
      <c r="A88" s="4" t="inlineStr">
        <is>
          <t>VINTAGE-001</t>
        </is>
      </c>
      <c r="B88" s="22">
        <f>IFERROR(INDEX('Tax Basis'!$B$8:$B$87,MATCH($A88,'Tax Basis'!$A$8:$A$87,0)),"Review-only vintage split")</f>
        <v/>
      </c>
      <c r="C88" s="23">
        <f>IFERROR(INDEX('Tax Basis'!$D$8:$D$87,MATCH($A88,'Tax Basis'!$A$8:$A$87,0)),Sale_Date)</f>
        <v/>
      </c>
      <c r="D88" s="4" t="n">
        <v>0</v>
      </c>
      <c r="E88" s="4" t="inlineStr">
        <is>
          <t>SL</t>
        </is>
      </c>
      <c r="F88" s="4" t="inlineStr">
        <is>
          <t>Mid-month</t>
        </is>
      </c>
      <c r="G88" s="8" t="n">
        <v>0</v>
      </c>
      <c r="H88" s="8" t="n">
        <v>0</v>
      </c>
      <c r="I88" s="8" t="n">
        <v>0</v>
      </c>
      <c r="J88" s="8">
        <f>MIN(G88,H88+I88)</f>
        <v/>
      </c>
      <c r="K88" s="8">
        <f>G88-J88</f>
        <v/>
      </c>
      <c r="L88" s="4" t="inlineStr">
        <is>
          <t>None</t>
        </is>
      </c>
      <c r="M88" s="4">
        <f>IF(AND(J88&lt;=G88,K88&gt;=0),"OK","CHECK")</f>
        <v/>
      </c>
    </row>
    <row r="89">
      <c r="A89" s="4" t="inlineStr">
        <is>
          <t>VINTAGE-002</t>
        </is>
      </c>
      <c r="B89" s="22">
        <f>IFERROR(INDEX('Tax Basis'!$B$8:$B$87,MATCH($A89,'Tax Basis'!$A$8:$A$87,0)),"Review-only vintage split")</f>
        <v/>
      </c>
      <c r="C89" s="23">
        <f>IFERROR(INDEX('Tax Basis'!$D$8:$D$87,MATCH($A89,'Tax Basis'!$A$8:$A$87,0)),Sale_Date)</f>
        <v/>
      </c>
      <c r="D89" s="4" t="n">
        <v>0</v>
      </c>
      <c r="E89" s="4" t="inlineStr">
        <is>
          <t>SL</t>
        </is>
      </c>
      <c r="F89" s="4" t="inlineStr">
        <is>
          <t>Mid-month</t>
        </is>
      </c>
      <c r="G89" s="8" t="n">
        <v>0</v>
      </c>
      <c r="H89" s="8" t="n">
        <v>0</v>
      </c>
      <c r="I89" s="8" t="n">
        <v>0</v>
      </c>
      <c r="J89" s="8">
        <f>MIN(G89,H89+I89)</f>
        <v/>
      </c>
      <c r="K89" s="8">
        <f>G89-J89</f>
        <v/>
      </c>
      <c r="L89" s="4" t="inlineStr">
        <is>
          <t>None</t>
        </is>
      </c>
      <c r="M89" s="4">
        <f>IF(AND(J89&lt;=G89,K89&gt;=0),"OK","CHECK")</f>
        <v/>
      </c>
    </row>
    <row r="90">
      <c r="A90" s="4" t="inlineStr">
        <is>
          <t>VINTAGE-003</t>
        </is>
      </c>
      <c r="B90" s="22">
        <f>IFERROR(INDEX('Tax Basis'!$B$8:$B$87,MATCH($A90,'Tax Basis'!$A$8:$A$87,0)),"Review-only vintage split")</f>
        <v/>
      </c>
      <c r="C90" s="23">
        <f>IFERROR(INDEX('Tax Basis'!$D$8:$D$87,MATCH($A90,'Tax Basis'!$A$8:$A$87,0)),Sale_Date)</f>
        <v/>
      </c>
      <c r="D90" s="4" t="n">
        <v>0</v>
      </c>
      <c r="E90" s="4" t="inlineStr">
        <is>
          <t>SL</t>
        </is>
      </c>
      <c r="F90" s="4" t="inlineStr">
        <is>
          <t>Mid-month</t>
        </is>
      </c>
      <c r="G90" s="8" t="n">
        <v>0</v>
      </c>
      <c r="H90" s="8" t="n">
        <v>0</v>
      </c>
      <c r="I90" s="8" t="n">
        <v>0</v>
      </c>
      <c r="J90" s="8">
        <f>MIN(G90,H90+I90)</f>
        <v/>
      </c>
      <c r="K90" s="8">
        <f>G90-J90</f>
        <v/>
      </c>
      <c r="L90" s="4" t="inlineStr">
        <is>
          <t>None</t>
        </is>
      </c>
      <c r="M90" s="4">
        <f>IF(AND(J90&lt;=G90,K90&gt;=0),"OK","CHECK")</f>
        <v/>
      </c>
    </row>
    <row r="91">
      <c r="A91" s="4" t="inlineStr">
        <is>
          <t>VINTAGE-004</t>
        </is>
      </c>
      <c r="B91" s="22">
        <f>IFERROR(INDEX('Tax Basis'!$B$8:$B$87,MATCH($A91,'Tax Basis'!$A$8:$A$87,0)),"Review-only vintage split")</f>
        <v/>
      </c>
      <c r="C91" s="23">
        <f>IFERROR(INDEX('Tax Basis'!$D$8:$D$87,MATCH($A91,'Tax Basis'!$A$8:$A$87,0)),Sale_Date)</f>
        <v/>
      </c>
      <c r="D91" s="4" t="n">
        <v>0</v>
      </c>
      <c r="E91" s="4" t="inlineStr">
        <is>
          <t>SL</t>
        </is>
      </c>
      <c r="F91" s="4" t="inlineStr">
        <is>
          <t>Mid-month</t>
        </is>
      </c>
      <c r="G91" s="8" t="n">
        <v>0</v>
      </c>
      <c r="H91" s="8" t="n">
        <v>0</v>
      </c>
      <c r="I91" s="8" t="n">
        <v>0</v>
      </c>
      <c r="J91" s="8">
        <f>MIN(G91,H91+I91)</f>
        <v/>
      </c>
      <c r="K91" s="8">
        <f>G91-J91</f>
        <v/>
      </c>
      <c r="L91" s="4" t="inlineStr">
        <is>
          <t>None</t>
        </is>
      </c>
      <c r="M91" s="4">
        <f>IF(AND(J91&lt;=G91,K91&gt;=0),"OK","CHECK")</f>
        <v/>
      </c>
    </row>
    <row r="92">
      <c r="A92" s="4" t="inlineStr">
        <is>
          <t>VINTAGE-005</t>
        </is>
      </c>
      <c r="B92" s="22">
        <f>IFERROR(INDEX('Tax Basis'!$B$8:$B$87,MATCH($A92,'Tax Basis'!$A$8:$A$87,0)),"Review-only vintage split")</f>
        <v/>
      </c>
      <c r="C92" s="23">
        <f>IFERROR(INDEX('Tax Basis'!$D$8:$D$87,MATCH($A92,'Tax Basis'!$A$8:$A$87,0)),Sale_Date)</f>
        <v/>
      </c>
      <c r="D92" s="4" t="n">
        <v>0</v>
      </c>
      <c r="E92" s="4" t="inlineStr">
        <is>
          <t>SL</t>
        </is>
      </c>
      <c r="F92" s="4" t="inlineStr">
        <is>
          <t>Mid-month</t>
        </is>
      </c>
      <c r="G92" s="8" t="n">
        <v>0</v>
      </c>
      <c r="H92" s="8" t="n">
        <v>0</v>
      </c>
      <c r="I92" s="8" t="n">
        <v>0</v>
      </c>
      <c r="J92" s="8">
        <f>MIN(G92,H92+I92)</f>
        <v/>
      </c>
      <c r="K92" s="8">
        <f>G92-J92</f>
        <v/>
      </c>
      <c r="L92" s="4" t="inlineStr">
        <is>
          <t>None</t>
        </is>
      </c>
      <c r="M92" s="4">
        <f>IF(AND(J92&lt;=G92,K92&gt;=0),"OK","CHECK")</f>
        <v/>
      </c>
    </row>
    <row r="93">
      <c r="A93" s="4" t="inlineStr">
        <is>
          <t>VINTAGE-006</t>
        </is>
      </c>
      <c r="B93" s="22">
        <f>IFERROR(INDEX('Tax Basis'!$B$8:$B$87,MATCH($A93,'Tax Basis'!$A$8:$A$87,0)),"Review-only vintage split")</f>
        <v/>
      </c>
      <c r="C93" s="23">
        <f>IFERROR(INDEX('Tax Basis'!$D$8:$D$87,MATCH($A93,'Tax Basis'!$A$8:$A$87,0)),Sale_Date)</f>
        <v/>
      </c>
      <c r="D93" s="4" t="n">
        <v>0</v>
      </c>
      <c r="E93" s="4" t="inlineStr">
        <is>
          <t>SL</t>
        </is>
      </c>
      <c r="F93" s="4" t="inlineStr">
        <is>
          <t>Mid-month</t>
        </is>
      </c>
      <c r="G93" s="8" t="n">
        <v>0</v>
      </c>
      <c r="H93" s="8" t="n">
        <v>0</v>
      </c>
      <c r="I93" s="8" t="n">
        <v>0</v>
      </c>
      <c r="J93" s="8">
        <f>MIN(G93,H93+I93)</f>
        <v/>
      </c>
      <c r="K93" s="8">
        <f>G93-J93</f>
        <v/>
      </c>
      <c r="L93" s="4" t="inlineStr">
        <is>
          <t>None</t>
        </is>
      </c>
      <c r="M93" s="4">
        <f>IF(AND(J93&lt;=G93,K93&gt;=0),"OK","CHECK")</f>
        <v/>
      </c>
    </row>
    <row r="94">
      <c r="A94" s="4" t="inlineStr">
        <is>
          <t>VINTAGE-007</t>
        </is>
      </c>
      <c r="B94" s="22">
        <f>IFERROR(INDEX('Tax Basis'!$B$8:$B$87,MATCH($A94,'Tax Basis'!$A$8:$A$87,0)),"Review-only vintage split")</f>
        <v/>
      </c>
      <c r="C94" s="23">
        <f>IFERROR(INDEX('Tax Basis'!$D$8:$D$87,MATCH($A94,'Tax Basis'!$A$8:$A$87,0)),Sale_Date)</f>
        <v/>
      </c>
      <c r="D94" s="4" t="n">
        <v>0</v>
      </c>
      <c r="E94" s="4" t="inlineStr">
        <is>
          <t>SL</t>
        </is>
      </c>
      <c r="F94" s="4" t="inlineStr">
        <is>
          <t>Mid-month</t>
        </is>
      </c>
      <c r="G94" s="8" t="n">
        <v>0</v>
      </c>
      <c r="H94" s="8" t="n">
        <v>0</v>
      </c>
      <c r="I94" s="8" t="n">
        <v>0</v>
      </c>
      <c r="J94" s="8">
        <f>MIN(G94,H94+I94)</f>
        <v/>
      </c>
      <c r="K94" s="8">
        <f>G94-J94</f>
        <v/>
      </c>
      <c r="L94" s="4" t="inlineStr">
        <is>
          <t>None</t>
        </is>
      </c>
      <c r="M94" s="4">
        <f>IF(AND(J94&lt;=G94,K94&gt;=0),"OK","CHECK")</f>
        <v/>
      </c>
    </row>
    <row r="95">
      <c r="A95" s="4" t="inlineStr">
        <is>
          <t>VINTAGE-008</t>
        </is>
      </c>
      <c r="B95" s="22">
        <f>IFERROR(INDEX('Tax Basis'!$B$8:$B$87,MATCH($A95,'Tax Basis'!$A$8:$A$87,0)),"Review-only vintage split")</f>
        <v/>
      </c>
      <c r="C95" s="23">
        <f>IFERROR(INDEX('Tax Basis'!$D$8:$D$87,MATCH($A95,'Tax Basis'!$A$8:$A$87,0)),Sale_Date)</f>
        <v/>
      </c>
      <c r="D95" s="4" t="n">
        <v>0</v>
      </c>
      <c r="E95" s="4" t="inlineStr">
        <is>
          <t>SL</t>
        </is>
      </c>
      <c r="F95" s="4" t="inlineStr">
        <is>
          <t>Mid-month</t>
        </is>
      </c>
      <c r="G95" s="8" t="n">
        <v>0</v>
      </c>
      <c r="H95" s="8" t="n">
        <v>0</v>
      </c>
      <c r="I95" s="8" t="n">
        <v>0</v>
      </c>
      <c r="J95" s="8">
        <f>MIN(G95,H95+I95)</f>
        <v/>
      </c>
      <c r="K95" s="8">
        <f>G95-J95</f>
        <v/>
      </c>
      <c r="L95" s="4" t="inlineStr">
        <is>
          <t>None</t>
        </is>
      </c>
      <c r="M95" s="4">
        <f>IF(AND(J95&lt;=G95,K95&gt;=0),"OK","CHECK")</f>
        <v/>
      </c>
    </row>
    <row r="96">
      <c r="A96" s="4" t="inlineStr">
        <is>
          <t>VINTAGE-009</t>
        </is>
      </c>
      <c r="B96" s="22">
        <f>IFERROR(INDEX('Tax Basis'!$B$8:$B$87,MATCH($A96,'Tax Basis'!$A$8:$A$87,0)),"Review-only vintage split")</f>
        <v/>
      </c>
      <c r="C96" s="23">
        <f>IFERROR(INDEX('Tax Basis'!$D$8:$D$87,MATCH($A96,'Tax Basis'!$A$8:$A$87,0)),Sale_Date)</f>
        <v/>
      </c>
      <c r="D96" s="4" t="n">
        <v>0</v>
      </c>
      <c r="E96" s="4" t="inlineStr">
        <is>
          <t>SL</t>
        </is>
      </c>
      <c r="F96" s="4" t="inlineStr">
        <is>
          <t>Mid-month</t>
        </is>
      </c>
      <c r="G96" s="8" t="n">
        <v>0</v>
      </c>
      <c r="H96" s="8" t="n">
        <v>0</v>
      </c>
      <c r="I96" s="8" t="n">
        <v>0</v>
      </c>
      <c r="J96" s="8">
        <f>MIN(G96,H96+I96)</f>
        <v/>
      </c>
      <c r="K96" s="8">
        <f>G96-J96</f>
        <v/>
      </c>
      <c r="L96" s="4" t="inlineStr">
        <is>
          <t>None</t>
        </is>
      </c>
      <c r="M96" s="4">
        <f>IF(AND(J96&lt;=G96,K96&gt;=0),"OK","CHECK")</f>
        <v/>
      </c>
    </row>
    <row r="97">
      <c r="A97" s="4" t="inlineStr">
        <is>
          <t>VINTAGE-010</t>
        </is>
      </c>
      <c r="B97" s="22">
        <f>IFERROR(INDEX('Tax Basis'!$B$8:$B$87,MATCH($A97,'Tax Basis'!$A$8:$A$87,0)),"Review-only vintage split")</f>
        <v/>
      </c>
      <c r="C97" s="23">
        <f>IFERROR(INDEX('Tax Basis'!$D$8:$D$87,MATCH($A97,'Tax Basis'!$A$8:$A$87,0)),Sale_Date)</f>
        <v/>
      </c>
      <c r="D97" s="4" t="n">
        <v>0</v>
      </c>
      <c r="E97" s="4" t="inlineStr">
        <is>
          <t>SL</t>
        </is>
      </c>
      <c r="F97" s="4" t="inlineStr">
        <is>
          <t>Mid-month</t>
        </is>
      </c>
      <c r="G97" s="8" t="n">
        <v>0</v>
      </c>
      <c r="H97" s="8" t="n">
        <v>0</v>
      </c>
      <c r="I97" s="8" t="n">
        <v>0</v>
      </c>
      <c r="J97" s="8">
        <f>MIN(G97,H97+I97)</f>
        <v/>
      </c>
      <c r="K97" s="8">
        <f>G97-J97</f>
        <v/>
      </c>
      <c r="L97" s="4" t="inlineStr">
        <is>
          <t>None</t>
        </is>
      </c>
      <c r="M97" s="4">
        <f>IF(AND(J97&lt;=G97,K97&gt;=0),"OK","CHECK")</f>
        <v/>
      </c>
    </row>
    <row r="98">
      <c r="A98" s="4" t="inlineStr">
        <is>
          <t>VINTAGE-011</t>
        </is>
      </c>
      <c r="B98" s="22">
        <f>IFERROR(INDEX('Tax Basis'!$B$8:$B$87,MATCH($A98,'Tax Basis'!$A$8:$A$87,0)),"Review-only vintage split")</f>
        <v/>
      </c>
      <c r="C98" s="23">
        <f>IFERROR(INDEX('Tax Basis'!$D$8:$D$87,MATCH($A98,'Tax Basis'!$A$8:$A$87,0)),Sale_Date)</f>
        <v/>
      </c>
      <c r="D98" s="4" t="n">
        <v>0</v>
      </c>
      <c r="E98" s="4" t="inlineStr">
        <is>
          <t>SL</t>
        </is>
      </c>
      <c r="F98" s="4" t="inlineStr">
        <is>
          <t>Mid-month</t>
        </is>
      </c>
      <c r="G98" s="8" t="n">
        <v>0</v>
      </c>
      <c r="H98" s="8" t="n">
        <v>0</v>
      </c>
      <c r="I98" s="8" t="n">
        <v>0</v>
      </c>
      <c r="J98" s="8">
        <f>MIN(G98,H98+I98)</f>
        <v/>
      </c>
      <c r="K98" s="8">
        <f>G98-J98</f>
        <v/>
      </c>
      <c r="L98" s="4" t="inlineStr">
        <is>
          <t>None</t>
        </is>
      </c>
      <c r="M98" s="4">
        <f>IF(AND(J98&lt;=G98,K98&gt;=0),"OK","CHECK")</f>
        <v/>
      </c>
    </row>
    <row r="99">
      <c r="A99" s="4" t="inlineStr">
        <is>
          <t>VINTAGE-012</t>
        </is>
      </c>
      <c r="B99" s="22">
        <f>IFERROR(INDEX('Tax Basis'!$B$8:$B$87,MATCH($A99,'Tax Basis'!$A$8:$A$87,0)),"Review-only vintage split")</f>
        <v/>
      </c>
      <c r="C99" s="23">
        <f>IFERROR(INDEX('Tax Basis'!$D$8:$D$87,MATCH($A99,'Tax Basis'!$A$8:$A$87,0)),Sale_Date)</f>
        <v/>
      </c>
      <c r="D99" s="4" t="n">
        <v>0</v>
      </c>
      <c r="E99" s="4" t="inlineStr">
        <is>
          <t>SL</t>
        </is>
      </c>
      <c r="F99" s="4" t="inlineStr">
        <is>
          <t>Mid-month</t>
        </is>
      </c>
      <c r="G99" s="8" t="n">
        <v>0</v>
      </c>
      <c r="H99" s="8" t="n">
        <v>0</v>
      </c>
      <c r="I99" s="8" t="n">
        <v>0</v>
      </c>
      <c r="J99" s="8">
        <f>MIN(G99,H99+I99)</f>
        <v/>
      </c>
      <c r="K99" s="8">
        <f>G99-J99</f>
        <v/>
      </c>
      <c r="L99" s="4" t="inlineStr">
        <is>
          <t>None</t>
        </is>
      </c>
      <c r="M99" s="4">
        <f>IF(AND(J99&lt;=G99,K99&gt;=0),"OK","CHECK")</f>
        <v/>
      </c>
    </row>
    <row r="100">
      <c r="A100" s="4" t="inlineStr">
        <is>
          <t>VINTAGE-013</t>
        </is>
      </c>
      <c r="B100" s="22">
        <f>IFERROR(INDEX('Tax Basis'!$B$8:$B$87,MATCH($A100,'Tax Basis'!$A$8:$A$87,0)),"Review-only vintage split")</f>
        <v/>
      </c>
      <c r="C100" s="23">
        <f>IFERROR(INDEX('Tax Basis'!$D$8:$D$87,MATCH($A100,'Tax Basis'!$A$8:$A$87,0)),Sale_Date)</f>
        <v/>
      </c>
      <c r="D100" s="4" t="n">
        <v>0</v>
      </c>
      <c r="E100" s="4" t="inlineStr">
        <is>
          <t>SL</t>
        </is>
      </c>
      <c r="F100" s="4" t="inlineStr">
        <is>
          <t>Mid-month</t>
        </is>
      </c>
      <c r="G100" s="8" t="n">
        <v>0</v>
      </c>
      <c r="H100" s="8" t="n">
        <v>0</v>
      </c>
      <c r="I100" s="8" t="n">
        <v>0</v>
      </c>
      <c r="J100" s="8">
        <f>MIN(G100,H100+I100)</f>
        <v/>
      </c>
      <c r="K100" s="8">
        <f>G100-J100</f>
        <v/>
      </c>
      <c r="L100" s="4" t="inlineStr">
        <is>
          <t>None</t>
        </is>
      </c>
      <c r="M100" s="4">
        <f>IF(AND(J100&lt;=G100,K100&gt;=0),"OK","CHECK")</f>
        <v/>
      </c>
    </row>
    <row r="101">
      <c r="A101" s="4" t="inlineStr">
        <is>
          <t>VINTAGE-014</t>
        </is>
      </c>
      <c r="B101" s="22">
        <f>IFERROR(INDEX('Tax Basis'!$B$8:$B$87,MATCH($A101,'Tax Basis'!$A$8:$A$87,0)),"Review-only vintage split")</f>
        <v/>
      </c>
      <c r="C101" s="23">
        <f>IFERROR(INDEX('Tax Basis'!$D$8:$D$87,MATCH($A101,'Tax Basis'!$A$8:$A$87,0)),Sale_Date)</f>
        <v/>
      </c>
      <c r="D101" s="4" t="n">
        <v>0</v>
      </c>
      <c r="E101" s="4" t="inlineStr">
        <is>
          <t>SL</t>
        </is>
      </c>
      <c r="F101" s="4" t="inlineStr">
        <is>
          <t>Mid-month</t>
        </is>
      </c>
      <c r="G101" s="8" t="n">
        <v>0</v>
      </c>
      <c r="H101" s="8" t="n">
        <v>0</v>
      </c>
      <c r="I101" s="8" t="n">
        <v>0</v>
      </c>
      <c r="J101" s="8">
        <f>MIN(G101,H101+I101)</f>
        <v/>
      </c>
      <c r="K101" s="8">
        <f>G101-J101</f>
        <v/>
      </c>
      <c r="L101" s="4" t="inlineStr">
        <is>
          <t>None</t>
        </is>
      </c>
      <c r="M101" s="4">
        <f>IF(AND(J101&lt;=G101,K101&gt;=0),"OK","CHECK")</f>
        <v/>
      </c>
    </row>
    <row r="102">
      <c r="A102" s="4" t="inlineStr">
        <is>
          <t>VINTAGE-015</t>
        </is>
      </c>
      <c r="B102" s="22">
        <f>IFERROR(INDEX('Tax Basis'!$B$8:$B$87,MATCH($A102,'Tax Basis'!$A$8:$A$87,0)),"Review-only vintage split")</f>
        <v/>
      </c>
      <c r="C102" s="23">
        <f>IFERROR(INDEX('Tax Basis'!$D$8:$D$87,MATCH($A102,'Tax Basis'!$A$8:$A$87,0)),Sale_Date)</f>
        <v/>
      </c>
      <c r="D102" s="4" t="n">
        <v>0</v>
      </c>
      <c r="E102" s="4" t="inlineStr">
        <is>
          <t>SL</t>
        </is>
      </c>
      <c r="F102" s="4" t="inlineStr">
        <is>
          <t>Mid-month</t>
        </is>
      </c>
      <c r="G102" s="8" t="n">
        <v>0</v>
      </c>
      <c r="H102" s="8" t="n">
        <v>0</v>
      </c>
      <c r="I102" s="8" t="n">
        <v>0</v>
      </c>
      <c r="J102" s="8">
        <f>MIN(G102,H102+I102)</f>
        <v/>
      </c>
      <c r="K102" s="8">
        <f>G102-J102</f>
        <v/>
      </c>
      <c r="L102" s="4" t="inlineStr">
        <is>
          <t>None</t>
        </is>
      </c>
      <c r="M102" s="4">
        <f>IF(AND(J102&lt;=G102,K102&gt;=0),"OK","CHECK")</f>
        <v/>
      </c>
    </row>
    <row r="103">
      <c r="A103" s="4" t="inlineStr">
        <is>
          <t>VINTAGE-016</t>
        </is>
      </c>
      <c r="B103" s="22">
        <f>IFERROR(INDEX('Tax Basis'!$B$8:$B$87,MATCH($A103,'Tax Basis'!$A$8:$A$87,0)),"Review-only vintage split")</f>
        <v/>
      </c>
      <c r="C103" s="23">
        <f>IFERROR(INDEX('Tax Basis'!$D$8:$D$87,MATCH($A103,'Tax Basis'!$A$8:$A$87,0)),Sale_Date)</f>
        <v/>
      </c>
      <c r="D103" s="4" t="n">
        <v>0</v>
      </c>
      <c r="E103" s="4" t="inlineStr">
        <is>
          <t>SL</t>
        </is>
      </c>
      <c r="F103" s="4" t="inlineStr">
        <is>
          <t>Mid-month</t>
        </is>
      </c>
      <c r="G103" s="8" t="n">
        <v>0</v>
      </c>
      <c r="H103" s="8" t="n">
        <v>0</v>
      </c>
      <c r="I103" s="8" t="n">
        <v>0</v>
      </c>
      <c r="J103" s="8">
        <f>MIN(G103,H103+I103)</f>
        <v/>
      </c>
      <c r="K103" s="8">
        <f>G103-J103</f>
        <v/>
      </c>
      <c r="L103" s="4" t="inlineStr">
        <is>
          <t>None</t>
        </is>
      </c>
      <c r="M103" s="4">
        <f>IF(AND(J103&lt;=G103,K103&gt;=0),"OK","CHECK")</f>
        <v/>
      </c>
    </row>
    <row r="104">
      <c r="A104" s="4" t="inlineStr">
        <is>
          <t>VINTAGE-017</t>
        </is>
      </c>
      <c r="B104" s="22">
        <f>IFERROR(INDEX('Tax Basis'!$B$8:$B$87,MATCH($A104,'Tax Basis'!$A$8:$A$87,0)),"Review-only vintage split")</f>
        <v/>
      </c>
      <c r="C104" s="23">
        <f>IFERROR(INDEX('Tax Basis'!$D$8:$D$87,MATCH($A104,'Tax Basis'!$A$8:$A$87,0)),Sale_Date)</f>
        <v/>
      </c>
      <c r="D104" s="4" t="n">
        <v>0</v>
      </c>
      <c r="E104" s="4" t="inlineStr">
        <is>
          <t>SL</t>
        </is>
      </c>
      <c r="F104" s="4" t="inlineStr">
        <is>
          <t>Mid-month</t>
        </is>
      </c>
      <c r="G104" s="8" t="n">
        <v>0</v>
      </c>
      <c r="H104" s="8" t="n">
        <v>0</v>
      </c>
      <c r="I104" s="8" t="n">
        <v>0</v>
      </c>
      <c r="J104" s="8">
        <f>MIN(G104,H104+I104)</f>
        <v/>
      </c>
      <c r="K104" s="8">
        <f>G104-J104</f>
        <v/>
      </c>
      <c r="L104" s="4" t="inlineStr">
        <is>
          <t>None</t>
        </is>
      </c>
      <c r="M104" s="4">
        <f>IF(AND(J104&lt;=G104,K104&gt;=0),"OK","CHECK")</f>
        <v/>
      </c>
    </row>
    <row r="105">
      <c r="A105" s="4" t="inlineStr">
        <is>
          <t>VINTAGE-018</t>
        </is>
      </c>
      <c r="B105" s="22">
        <f>IFERROR(INDEX('Tax Basis'!$B$8:$B$87,MATCH($A105,'Tax Basis'!$A$8:$A$87,0)),"Review-only vintage split")</f>
        <v/>
      </c>
      <c r="C105" s="23">
        <f>IFERROR(INDEX('Tax Basis'!$D$8:$D$87,MATCH($A105,'Tax Basis'!$A$8:$A$87,0)),Sale_Date)</f>
        <v/>
      </c>
      <c r="D105" s="4" t="n">
        <v>0</v>
      </c>
      <c r="E105" s="4" t="inlineStr">
        <is>
          <t>SL</t>
        </is>
      </c>
      <c r="F105" s="4" t="inlineStr">
        <is>
          <t>Mid-month</t>
        </is>
      </c>
      <c r="G105" s="8" t="n">
        <v>0</v>
      </c>
      <c r="H105" s="8" t="n">
        <v>0</v>
      </c>
      <c r="I105" s="8" t="n">
        <v>0</v>
      </c>
      <c r="J105" s="8">
        <f>MIN(G105,H105+I105)</f>
        <v/>
      </c>
      <c r="K105" s="8">
        <f>G105-J105</f>
        <v/>
      </c>
      <c r="L105" s="4" t="inlineStr">
        <is>
          <t>None</t>
        </is>
      </c>
      <c r="M105" s="4">
        <f>IF(AND(J105&lt;=G105,K105&gt;=0),"OK","CHECK")</f>
        <v/>
      </c>
    </row>
    <row r="106">
      <c r="A106" s="4" t="inlineStr">
        <is>
          <t>VINTAGE-019</t>
        </is>
      </c>
      <c r="B106" s="22">
        <f>IFERROR(INDEX('Tax Basis'!$B$8:$B$87,MATCH($A106,'Tax Basis'!$A$8:$A$87,0)),"Review-only vintage split")</f>
        <v/>
      </c>
      <c r="C106" s="23">
        <f>IFERROR(INDEX('Tax Basis'!$D$8:$D$87,MATCH($A106,'Tax Basis'!$A$8:$A$87,0)),Sale_Date)</f>
        <v/>
      </c>
      <c r="D106" s="4" t="n">
        <v>0</v>
      </c>
      <c r="E106" s="4" t="inlineStr">
        <is>
          <t>SL</t>
        </is>
      </c>
      <c r="F106" s="4" t="inlineStr">
        <is>
          <t>Mid-month</t>
        </is>
      </c>
      <c r="G106" s="8" t="n">
        <v>0</v>
      </c>
      <c r="H106" s="8" t="n">
        <v>0</v>
      </c>
      <c r="I106" s="8" t="n">
        <v>0</v>
      </c>
      <c r="J106" s="8">
        <f>MIN(G106,H106+I106)</f>
        <v/>
      </c>
      <c r="K106" s="8">
        <f>G106-J106</f>
        <v/>
      </c>
      <c r="L106" s="4" t="inlineStr">
        <is>
          <t>None</t>
        </is>
      </c>
      <c r="M106" s="4">
        <f>IF(AND(J106&lt;=G106,K106&gt;=0),"OK","CHECK")</f>
        <v/>
      </c>
    </row>
    <row r="107">
      <c r="A107" s="4" t="inlineStr">
        <is>
          <t>VINTAGE-020</t>
        </is>
      </c>
      <c r="B107" s="22">
        <f>IFERROR(INDEX('Tax Basis'!$B$8:$B$87,MATCH($A107,'Tax Basis'!$A$8:$A$87,0)),"Review-only vintage split")</f>
        <v/>
      </c>
      <c r="C107" s="23">
        <f>IFERROR(INDEX('Tax Basis'!$D$8:$D$87,MATCH($A107,'Tax Basis'!$A$8:$A$87,0)),Sale_Date)</f>
        <v/>
      </c>
      <c r="D107" s="4" t="n">
        <v>0</v>
      </c>
      <c r="E107" s="4" t="inlineStr">
        <is>
          <t>SL</t>
        </is>
      </c>
      <c r="F107" s="4" t="inlineStr">
        <is>
          <t>Mid-month</t>
        </is>
      </c>
      <c r="G107" s="8" t="n">
        <v>0</v>
      </c>
      <c r="H107" s="8" t="n">
        <v>0</v>
      </c>
      <c r="I107" s="8" t="n">
        <v>0</v>
      </c>
      <c r="J107" s="8">
        <f>MIN(G107,H107+I107)</f>
        <v/>
      </c>
      <c r="K107" s="8">
        <f>G107-J107</f>
        <v/>
      </c>
      <c r="L107" s="4" t="inlineStr">
        <is>
          <t>None</t>
        </is>
      </c>
      <c r="M107" s="4">
        <f>IF(AND(J107&lt;=G107,K107&gt;=0),"OK","CHECK")</f>
        <v/>
      </c>
    </row>
    <row r="108">
      <c r="A108" s="4" t="inlineStr">
        <is>
          <t>VINTAGE-021</t>
        </is>
      </c>
      <c r="B108" s="22">
        <f>IFERROR(INDEX('Tax Basis'!$B$8:$B$87,MATCH($A108,'Tax Basis'!$A$8:$A$87,0)),"Review-only vintage split")</f>
        <v/>
      </c>
      <c r="C108" s="23">
        <f>IFERROR(INDEX('Tax Basis'!$D$8:$D$87,MATCH($A108,'Tax Basis'!$A$8:$A$87,0)),Sale_Date)</f>
        <v/>
      </c>
      <c r="D108" s="4" t="n">
        <v>0</v>
      </c>
      <c r="E108" s="4" t="inlineStr">
        <is>
          <t>SL</t>
        </is>
      </c>
      <c r="F108" s="4" t="inlineStr">
        <is>
          <t>Mid-month</t>
        </is>
      </c>
      <c r="G108" s="8" t="n">
        <v>0</v>
      </c>
      <c r="H108" s="8" t="n">
        <v>0</v>
      </c>
      <c r="I108" s="8" t="n">
        <v>0</v>
      </c>
      <c r="J108" s="8">
        <f>MIN(G108,H108+I108)</f>
        <v/>
      </c>
      <c r="K108" s="8">
        <f>G108-J108</f>
        <v/>
      </c>
      <c r="L108" s="4" t="inlineStr">
        <is>
          <t>None</t>
        </is>
      </c>
      <c r="M108" s="4">
        <f>IF(AND(J108&lt;=G108,K108&gt;=0),"OK","CHECK")</f>
        <v/>
      </c>
    </row>
    <row r="109">
      <c r="A109" s="4" t="inlineStr">
        <is>
          <t>VINTAGE-022</t>
        </is>
      </c>
      <c r="B109" s="22">
        <f>IFERROR(INDEX('Tax Basis'!$B$8:$B$87,MATCH($A109,'Tax Basis'!$A$8:$A$87,0)),"Review-only vintage split")</f>
        <v/>
      </c>
      <c r="C109" s="23">
        <f>IFERROR(INDEX('Tax Basis'!$D$8:$D$87,MATCH($A109,'Tax Basis'!$A$8:$A$87,0)),Sale_Date)</f>
        <v/>
      </c>
      <c r="D109" s="4" t="n">
        <v>0</v>
      </c>
      <c r="E109" s="4" t="inlineStr">
        <is>
          <t>SL</t>
        </is>
      </c>
      <c r="F109" s="4" t="inlineStr">
        <is>
          <t>Mid-month</t>
        </is>
      </c>
      <c r="G109" s="8" t="n">
        <v>0</v>
      </c>
      <c r="H109" s="8" t="n">
        <v>0</v>
      </c>
      <c r="I109" s="8" t="n">
        <v>0</v>
      </c>
      <c r="J109" s="8">
        <f>MIN(G109,H109+I109)</f>
        <v/>
      </c>
      <c r="K109" s="8">
        <f>G109-J109</f>
        <v/>
      </c>
      <c r="L109" s="4" t="inlineStr">
        <is>
          <t>None</t>
        </is>
      </c>
      <c r="M109" s="4">
        <f>IF(AND(J109&lt;=G109,K109&gt;=0),"OK","CHECK")</f>
        <v/>
      </c>
    </row>
    <row r="110">
      <c r="A110" s="4" t="inlineStr">
        <is>
          <t>VINTAGE-023</t>
        </is>
      </c>
      <c r="B110" s="22">
        <f>IFERROR(INDEX('Tax Basis'!$B$8:$B$87,MATCH($A110,'Tax Basis'!$A$8:$A$87,0)),"Review-only vintage split")</f>
        <v/>
      </c>
      <c r="C110" s="23">
        <f>IFERROR(INDEX('Tax Basis'!$D$8:$D$87,MATCH($A110,'Tax Basis'!$A$8:$A$87,0)),Sale_Date)</f>
        <v/>
      </c>
      <c r="D110" s="4" t="n">
        <v>0</v>
      </c>
      <c r="E110" s="4" t="inlineStr">
        <is>
          <t>SL</t>
        </is>
      </c>
      <c r="F110" s="4" t="inlineStr">
        <is>
          <t>Mid-month</t>
        </is>
      </c>
      <c r="G110" s="8" t="n">
        <v>0</v>
      </c>
      <c r="H110" s="8" t="n">
        <v>0</v>
      </c>
      <c r="I110" s="8" t="n">
        <v>0</v>
      </c>
      <c r="J110" s="8">
        <f>MIN(G110,H110+I110)</f>
        <v/>
      </c>
      <c r="K110" s="8">
        <f>G110-J110</f>
        <v/>
      </c>
      <c r="L110" s="4" t="inlineStr">
        <is>
          <t>None</t>
        </is>
      </c>
      <c r="M110" s="4">
        <f>IF(AND(J110&lt;=G110,K110&gt;=0),"OK","CHECK")</f>
        <v/>
      </c>
    </row>
    <row r="111">
      <c r="A111" s="4" t="inlineStr">
        <is>
          <t>VINTAGE-024</t>
        </is>
      </c>
      <c r="B111" s="22">
        <f>IFERROR(INDEX('Tax Basis'!$B$8:$B$87,MATCH($A111,'Tax Basis'!$A$8:$A$87,0)),"Review-only vintage split")</f>
        <v/>
      </c>
      <c r="C111" s="23">
        <f>IFERROR(INDEX('Tax Basis'!$D$8:$D$87,MATCH($A111,'Tax Basis'!$A$8:$A$87,0)),Sale_Date)</f>
        <v/>
      </c>
      <c r="D111" s="4" t="n">
        <v>0</v>
      </c>
      <c r="E111" s="4" t="inlineStr">
        <is>
          <t>SL</t>
        </is>
      </c>
      <c r="F111" s="4" t="inlineStr">
        <is>
          <t>Mid-month</t>
        </is>
      </c>
      <c r="G111" s="8" t="n">
        <v>0</v>
      </c>
      <c r="H111" s="8" t="n">
        <v>0</v>
      </c>
      <c r="I111" s="8" t="n">
        <v>0</v>
      </c>
      <c r="J111" s="8">
        <f>MIN(G111,H111+I111)</f>
        <v/>
      </c>
      <c r="K111" s="8">
        <f>G111-J111</f>
        <v/>
      </c>
      <c r="L111" s="4" t="inlineStr">
        <is>
          <t>None</t>
        </is>
      </c>
      <c r="M111" s="4">
        <f>IF(AND(J111&lt;=G111,K111&gt;=0),"OK","CHECK")</f>
        <v/>
      </c>
    </row>
    <row r="112">
      <c r="A112" s="4" t="inlineStr">
        <is>
          <t>VINTAGE-025</t>
        </is>
      </c>
      <c r="B112" s="22">
        <f>IFERROR(INDEX('Tax Basis'!$B$8:$B$87,MATCH($A112,'Tax Basis'!$A$8:$A$87,0)),"Review-only vintage split")</f>
        <v/>
      </c>
      <c r="C112" s="23">
        <f>IFERROR(INDEX('Tax Basis'!$D$8:$D$87,MATCH($A112,'Tax Basis'!$A$8:$A$87,0)),Sale_Date)</f>
        <v/>
      </c>
      <c r="D112" s="4" t="n">
        <v>0</v>
      </c>
      <c r="E112" s="4" t="inlineStr">
        <is>
          <t>SL</t>
        </is>
      </c>
      <c r="F112" s="4" t="inlineStr">
        <is>
          <t>Mid-month</t>
        </is>
      </c>
      <c r="G112" s="8" t="n">
        <v>0</v>
      </c>
      <c r="H112" s="8" t="n">
        <v>0</v>
      </c>
      <c r="I112" s="8" t="n">
        <v>0</v>
      </c>
      <c r="J112" s="8">
        <f>MIN(G112,H112+I112)</f>
        <v/>
      </c>
      <c r="K112" s="8">
        <f>G112-J112</f>
        <v/>
      </c>
      <c r="L112" s="4" t="inlineStr">
        <is>
          <t>None</t>
        </is>
      </c>
      <c r="M112" s="4">
        <f>IF(AND(J112&lt;=G112,K112&gt;=0),"OK","CHECK")</f>
        <v/>
      </c>
    </row>
    <row r="113">
      <c r="A113" s="4" t="inlineStr">
        <is>
          <t>VINTAGE-026</t>
        </is>
      </c>
      <c r="B113" s="22">
        <f>IFERROR(INDEX('Tax Basis'!$B$8:$B$87,MATCH($A113,'Tax Basis'!$A$8:$A$87,0)),"Review-only vintage split")</f>
        <v/>
      </c>
      <c r="C113" s="23">
        <f>IFERROR(INDEX('Tax Basis'!$D$8:$D$87,MATCH($A113,'Tax Basis'!$A$8:$A$87,0)),Sale_Date)</f>
        <v/>
      </c>
      <c r="D113" s="4" t="n">
        <v>0</v>
      </c>
      <c r="E113" s="4" t="inlineStr">
        <is>
          <t>SL</t>
        </is>
      </c>
      <c r="F113" s="4" t="inlineStr">
        <is>
          <t>Mid-month</t>
        </is>
      </c>
      <c r="G113" s="8" t="n">
        <v>0</v>
      </c>
      <c r="H113" s="8" t="n">
        <v>0</v>
      </c>
      <c r="I113" s="8" t="n">
        <v>0</v>
      </c>
      <c r="J113" s="8">
        <f>MIN(G113,H113+I113)</f>
        <v/>
      </c>
      <c r="K113" s="8">
        <f>G113-J113</f>
        <v/>
      </c>
      <c r="L113" s="4" t="inlineStr">
        <is>
          <t>None</t>
        </is>
      </c>
      <c r="M113" s="4">
        <f>IF(AND(J113&lt;=G113,K113&gt;=0),"OK","CHECK")</f>
        <v/>
      </c>
    </row>
    <row r="114">
      <c r="A114" s="4" t="inlineStr">
        <is>
          <t>VINTAGE-027</t>
        </is>
      </c>
      <c r="B114" s="22">
        <f>IFERROR(INDEX('Tax Basis'!$B$8:$B$87,MATCH($A114,'Tax Basis'!$A$8:$A$87,0)),"Review-only vintage split")</f>
        <v/>
      </c>
      <c r="C114" s="23">
        <f>IFERROR(INDEX('Tax Basis'!$D$8:$D$87,MATCH($A114,'Tax Basis'!$A$8:$A$87,0)),Sale_Date)</f>
        <v/>
      </c>
      <c r="D114" s="4" t="n">
        <v>0</v>
      </c>
      <c r="E114" s="4" t="inlineStr">
        <is>
          <t>SL</t>
        </is>
      </c>
      <c r="F114" s="4" t="inlineStr">
        <is>
          <t>Mid-month</t>
        </is>
      </c>
      <c r="G114" s="8" t="n">
        <v>0</v>
      </c>
      <c r="H114" s="8" t="n">
        <v>0</v>
      </c>
      <c r="I114" s="8" t="n">
        <v>0</v>
      </c>
      <c r="J114" s="8">
        <f>MIN(G114,H114+I114)</f>
        <v/>
      </c>
      <c r="K114" s="8">
        <f>G114-J114</f>
        <v/>
      </c>
      <c r="L114" s="4" t="inlineStr">
        <is>
          <t>None</t>
        </is>
      </c>
      <c r="M114" s="4">
        <f>IF(AND(J114&lt;=G114,K114&gt;=0),"OK","CHECK")</f>
        <v/>
      </c>
    </row>
    <row r="115">
      <c r="A115" s="4" t="inlineStr">
        <is>
          <t>VINTAGE-028</t>
        </is>
      </c>
      <c r="B115" s="22">
        <f>IFERROR(INDEX('Tax Basis'!$B$8:$B$87,MATCH($A115,'Tax Basis'!$A$8:$A$87,0)),"Review-only vintage split")</f>
        <v/>
      </c>
      <c r="C115" s="23">
        <f>IFERROR(INDEX('Tax Basis'!$D$8:$D$87,MATCH($A115,'Tax Basis'!$A$8:$A$87,0)),Sale_Date)</f>
        <v/>
      </c>
      <c r="D115" s="4" t="n">
        <v>0</v>
      </c>
      <c r="E115" s="4" t="inlineStr">
        <is>
          <t>SL</t>
        </is>
      </c>
      <c r="F115" s="4" t="inlineStr">
        <is>
          <t>Mid-month</t>
        </is>
      </c>
      <c r="G115" s="8" t="n">
        <v>0</v>
      </c>
      <c r="H115" s="8" t="n">
        <v>0</v>
      </c>
      <c r="I115" s="8" t="n">
        <v>0</v>
      </c>
      <c r="J115" s="8">
        <f>MIN(G115,H115+I115)</f>
        <v/>
      </c>
      <c r="K115" s="8">
        <f>G115-J115</f>
        <v/>
      </c>
      <c r="L115" s="4" t="inlineStr">
        <is>
          <t>None</t>
        </is>
      </c>
      <c r="M115" s="4">
        <f>IF(AND(J115&lt;=G115,K115&gt;=0),"OK","CHECK")</f>
        <v/>
      </c>
    </row>
    <row r="116">
      <c r="A116" s="4" t="inlineStr">
        <is>
          <t>VINTAGE-029</t>
        </is>
      </c>
      <c r="B116" s="22">
        <f>IFERROR(INDEX('Tax Basis'!$B$8:$B$87,MATCH($A116,'Tax Basis'!$A$8:$A$87,0)),"Review-only vintage split")</f>
        <v/>
      </c>
      <c r="C116" s="23">
        <f>IFERROR(INDEX('Tax Basis'!$D$8:$D$87,MATCH($A116,'Tax Basis'!$A$8:$A$87,0)),Sale_Date)</f>
        <v/>
      </c>
      <c r="D116" s="4" t="n">
        <v>0</v>
      </c>
      <c r="E116" s="4" t="inlineStr">
        <is>
          <t>SL</t>
        </is>
      </c>
      <c r="F116" s="4" t="inlineStr">
        <is>
          <t>Mid-month</t>
        </is>
      </c>
      <c r="G116" s="8" t="n">
        <v>0</v>
      </c>
      <c r="H116" s="8" t="n">
        <v>0</v>
      </c>
      <c r="I116" s="8" t="n">
        <v>0</v>
      </c>
      <c r="J116" s="8">
        <f>MIN(G116,H116+I116)</f>
        <v/>
      </c>
      <c r="K116" s="8">
        <f>G116-J116</f>
        <v/>
      </c>
      <c r="L116" s="4" t="inlineStr">
        <is>
          <t>None</t>
        </is>
      </c>
      <c r="M116" s="4">
        <f>IF(AND(J116&lt;=G116,K116&gt;=0),"OK","CHECK")</f>
        <v/>
      </c>
    </row>
    <row r="117">
      <c r="A117" s="4" t="inlineStr">
        <is>
          <t>VINTAGE-030</t>
        </is>
      </c>
      <c r="B117" s="22">
        <f>IFERROR(INDEX('Tax Basis'!$B$8:$B$87,MATCH($A117,'Tax Basis'!$A$8:$A$87,0)),"Review-only vintage split")</f>
        <v/>
      </c>
      <c r="C117" s="23">
        <f>IFERROR(INDEX('Tax Basis'!$D$8:$D$87,MATCH($A117,'Tax Basis'!$A$8:$A$87,0)),Sale_Date)</f>
        <v/>
      </c>
      <c r="D117" s="4" t="n">
        <v>0</v>
      </c>
      <c r="E117" s="4" t="inlineStr">
        <is>
          <t>SL</t>
        </is>
      </c>
      <c r="F117" s="4" t="inlineStr">
        <is>
          <t>Mid-month</t>
        </is>
      </c>
      <c r="G117" s="8" t="n">
        <v>0</v>
      </c>
      <c r="H117" s="8" t="n">
        <v>0</v>
      </c>
      <c r="I117" s="8" t="n">
        <v>0</v>
      </c>
      <c r="J117" s="8">
        <f>MIN(G117,H117+I117)</f>
        <v/>
      </c>
      <c r="K117" s="8">
        <f>G117-J117</f>
        <v/>
      </c>
      <c r="L117" s="4" t="inlineStr">
        <is>
          <t>None</t>
        </is>
      </c>
      <c r="M117" s="4">
        <f>IF(AND(J117&lt;=G117,K117&gt;=0),"OK","CHECK")</f>
        <v/>
      </c>
    </row>
    <row r="118">
      <c r="A118" s="4" t="inlineStr">
        <is>
          <t>VINTAGE-031</t>
        </is>
      </c>
      <c r="B118" s="22">
        <f>IFERROR(INDEX('Tax Basis'!$B$8:$B$87,MATCH($A118,'Tax Basis'!$A$8:$A$87,0)),"Review-only vintage split")</f>
        <v/>
      </c>
      <c r="C118" s="23">
        <f>IFERROR(INDEX('Tax Basis'!$D$8:$D$87,MATCH($A118,'Tax Basis'!$A$8:$A$87,0)),Sale_Date)</f>
        <v/>
      </c>
      <c r="D118" s="4" t="n">
        <v>0</v>
      </c>
      <c r="E118" s="4" t="inlineStr">
        <is>
          <t>SL</t>
        </is>
      </c>
      <c r="F118" s="4" t="inlineStr">
        <is>
          <t>Mid-month</t>
        </is>
      </c>
      <c r="G118" s="8" t="n">
        <v>0</v>
      </c>
      <c r="H118" s="8" t="n">
        <v>0</v>
      </c>
      <c r="I118" s="8" t="n">
        <v>0</v>
      </c>
      <c r="J118" s="8">
        <f>MIN(G118,H118+I118)</f>
        <v/>
      </c>
      <c r="K118" s="8">
        <f>G118-J118</f>
        <v/>
      </c>
      <c r="L118" s="4" t="inlineStr">
        <is>
          <t>None</t>
        </is>
      </c>
      <c r="M118" s="4">
        <f>IF(AND(J118&lt;=G118,K118&gt;=0),"OK","CHECK")</f>
        <v/>
      </c>
    </row>
    <row r="119">
      <c r="A119" s="4" t="inlineStr">
        <is>
          <t>VINTAGE-032</t>
        </is>
      </c>
      <c r="B119" s="22">
        <f>IFERROR(INDEX('Tax Basis'!$B$8:$B$87,MATCH($A119,'Tax Basis'!$A$8:$A$87,0)),"Review-only vintage split")</f>
        <v/>
      </c>
      <c r="C119" s="23">
        <f>IFERROR(INDEX('Tax Basis'!$D$8:$D$87,MATCH($A119,'Tax Basis'!$A$8:$A$87,0)),Sale_Date)</f>
        <v/>
      </c>
      <c r="D119" s="4" t="n">
        <v>0</v>
      </c>
      <c r="E119" s="4" t="inlineStr">
        <is>
          <t>SL</t>
        </is>
      </c>
      <c r="F119" s="4" t="inlineStr">
        <is>
          <t>Mid-month</t>
        </is>
      </c>
      <c r="G119" s="8" t="n">
        <v>0</v>
      </c>
      <c r="H119" s="8" t="n">
        <v>0</v>
      </c>
      <c r="I119" s="8" t="n">
        <v>0</v>
      </c>
      <c r="J119" s="8">
        <f>MIN(G119,H119+I119)</f>
        <v/>
      </c>
      <c r="K119" s="8">
        <f>G119-J119</f>
        <v/>
      </c>
      <c r="L119" s="4" t="inlineStr">
        <is>
          <t>None</t>
        </is>
      </c>
      <c r="M119" s="4">
        <f>IF(AND(J119&lt;=G119,K119&gt;=0),"OK","CHECK")</f>
        <v/>
      </c>
    </row>
    <row r="120">
      <c r="A120" s="4" t="inlineStr">
        <is>
          <t>VINTAGE-033</t>
        </is>
      </c>
      <c r="B120" s="22">
        <f>IFERROR(INDEX('Tax Basis'!$B$8:$B$87,MATCH($A120,'Tax Basis'!$A$8:$A$87,0)),"Review-only vintage split")</f>
        <v/>
      </c>
      <c r="C120" s="23">
        <f>IFERROR(INDEX('Tax Basis'!$D$8:$D$87,MATCH($A120,'Tax Basis'!$A$8:$A$87,0)),Sale_Date)</f>
        <v/>
      </c>
      <c r="D120" s="4" t="n">
        <v>0</v>
      </c>
      <c r="E120" s="4" t="inlineStr">
        <is>
          <t>SL</t>
        </is>
      </c>
      <c r="F120" s="4" t="inlineStr">
        <is>
          <t>Mid-month</t>
        </is>
      </c>
      <c r="G120" s="8" t="n">
        <v>0</v>
      </c>
      <c r="H120" s="8" t="n">
        <v>0</v>
      </c>
      <c r="I120" s="8" t="n">
        <v>0</v>
      </c>
      <c r="J120" s="8">
        <f>MIN(G120,H120+I120)</f>
        <v/>
      </c>
      <c r="K120" s="8">
        <f>G120-J120</f>
        <v/>
      </c>
      <c r="L120" s="4" t="inlineStr">
        <is>
          <t>None</t>
        </is>
      </c>
      <c r="M120" s="4">
        <f>IF(AND(J120&lt;=G120,K120&gt;=0),"OK","CHECK")</f>
        <v/>
      </c>
    </row>
    <row r="121">
      <c r="A121" s="4" t="inlineStr">
        <is>
          <t>VINTAGE-034</t>
        </is>
      </c>
      <c r="B121" s="22">
        <f>IFERROR(INDEX('Tax Basis'!$B$8:$B$87,MATCH($A121,'Tax Basis'!$A$8:$A$87,0)),"Review-only vintage split")</f>
        <v/>
      </c>
      <c r="C121" s="23">
        <f>IFERROR(INDEX('Tax Basis'!$D$8:$D$87,MATCH($A121,'Tax Basis'!$A$8:$A$87,0)),Sale_Date)</f>
        <v/>
      </c>
      <c r="D121" s="4" t="n">
        <v>0</v>
      </c>
      <c r="E121" s="4" t="inlineStr">
        <is>
          <t>SL</t>
        </is>
      </c>
      <c r="F121" s="4" t="inlineStr">
        <is>
          <t>Mid-month</t>
        </is>
      </c>
      <c r="G121" s="8" t="n">
        <v>0</v>
      </c>
      <c r="H121" s="8" t="n">
        <v>0</v>
      </c>
      <c r="I121" s="8" t="n">
        <v>0</v>
      </c>
      <c r="J121" s="8">
        <f>MIN(G121,H121+I121)</f>
        <v/>
      </c>
      <c r="K121" s="8">
        <f>G121-J121</f>
        <v/>
      </c>
      <c r="L121" s="4" t="inlineStr">
        <is>
          <t>None</t>
        </is>
      </c>
      <c r="M121" s="4">
        <f>IF(AND(J121&lt;=G121,K121&gt;=0),"OK","CHECK")</f>
        <v/>
      </c>
    </row>
    <row r="122">
      <c r="A122" s="4" t="inlineStr">
        <is>
          <t>VINTAGE-035</t>
        </is>
      </c>
      <c r="B122" s="22">
        <f>IFERROR(INDEX('Tax Basis'!$B$8:$B$87,MATCH($A122,'Tax Basis'!$A$8:$A$87,0)),"Review-only vintage split")</f>
        <v/>
      </c>
      <c r="C122" s="23">
        <f>IFERROR(INDEX('Tax Basis'!$D$8:$D$87,MATCH($A122,'Tax Basis'!$A$8:$A$87,0)),Sale_Date)</f>
        <v/>
      </c>
      <c r="D122" s="4" t="n">
        <v>0</v>
      </c>
      <c r="E122" s="4" t="inlineStr">
        <is>
          <t>SL</t>
        </is>
      </c>
      <c r="F122" s="4" t="inlineStr">
        <is>
          <t>Mid-month</t>
        </is>
      </c>
      <c r="G122" s="8" t="n">
        <v>0</v>
      </c>
      <c r="H122" s="8" t="n">
        <v>0</v>
      </c>
      <c r="I122" s="8" t="n">
        <v>0</v>
      </c>
      <c r="J122" s="8">
        <f>MIN(G122,H122+I122)</f>
        <v/>
      </c>
      <c r="K122" s="8">
        <f>G122-J122</f>
        <v/>
      </c>
      <c r="L122" s="4" t="inlineStr">
        <is>
          <t>None</t>
        </is>
      </c>
      <c r="M122" s="4">
        <f>IF(AND(J122&lt;=G122,K122&gt;=0),"OK","CHECK")</f>
        <v/>
      </c>
    </row>
    <row r="123">
      <c r="A123" s="4" t="inlineStr">
        <is>
          <t>VINTAGE-036</t>
        </is>
      </c>
      <c r="B123" s="22">
        <f>IFERROR(INDEX('Tax Basis'!$B$8:$B$87,MATCH($A123,'Tax Basis'!$A$8:$A$87,0)),"Review-only vintage split")</f>
        <v/>
      </c>
      <c r="C123" s="23">
        <f>IFERROR(INDEX('Tax Basis'!$D$8:$D$87,MATCH($A123,'Tax Basis'!$A$8:$A$87,0)),Sale_Date)</f>
        <v/>
      </c>
      <c r="D123" s="4" t="n">
        <v>0</v>
      </c>
      <c r="E123" s="4" t="inlineStr">
        <is>
          <t>SL</t>
        </is>
      </c>
      <c r="F123" s="4" t="inlineStr">
        <is>
          <t>Mid-month</t>
        </is>
      </c>
      <c r="G123" s="8" t="n">
        <v>0</v>
      </c>
      <c r="H123" s="8" t="n">
        <v>0</v>
      </c>
      <c r="I123" s="8" t="n">
        <v>0</v>
      </c>
      <c r="J123" s="8">
        <f>MIN(G123,H123+I123)</f>
        <v/>
      </c>
      <c r="K123" s="8">
        <f>G123-J123</f>
        <v/>
      </c>
      <c r="L123" s="4" t="inlineStr">
        <is>
          <t>None</t>
        </is>
      </c>
      <c r="M123" s="4">
        <f>IF(AND(J123&lt;=G123,K123&gt;=0),"OK","CHECK")</f>
        <v/>
      </c>
    </row>
    <row r="124">
      <c r="A124" s="4" t="inlineStr">
        <is>
          <t>VINTAGE-037</t>
        </is>
      </c>
      <c r="B124" s="22">
        <f>IFERROR(INDEX('Tax Basis'!$B$8:$B$87,MATCH($A124,'Tax Basis'!$A$8:$A$87,0)),"Review-only vintage split")</f>
        <v/>
      </c>
      <c r="C124" s="23">
        <f>IFERROR(INDEX('Tax Basis'!$D$8:$D$87,MATCH($A124,'Tax Basis'!$A$8:$A$87,0)),Sale_Date)</f>
        <v/>
      </c>
      <c r="D124" s="4" t="n">
        <v>0</v>
      </c>
      <c r="E124" s="4" t="inlineStr">
        <is>
          <t>SL</t>
        </is>
      </c>
      <c r="F124" s="4" t="inlineStr">
        <is>
          <t>Mid-month</t>
        </is>
      </c>
      <c r="G124" s="8" t="n">
        <v>0</v>
      </c>
      <c r="H124" s="8" t="n">
        <v>0</v>
      </c>
      <c r="I124" s="8" t="n">
        <v>0</v>
      </c>
      <c r="J124" s="8">
        <f>MIN(G124,H124+I124)</f>
        <v/>
      </c>
      <c r="K124" s="8">
        <f>G124-J124</f>
        <v/>
      </c>
      <c r="L124" s="4" t="inlineStr">
        <is>
          <t>None</t>
        </is>
      </c>
      <c r="M124" s="4">
        <f>IF(AND(J124&lt;=G124,K124&gt;=0),"OK","CHECK")</f>
        <v/>
      </c>
    </row>
    <row r="125">
      <c r="A125" s="4" t="inlineStr">
        <is>
          <t>VINTAGE-038</t>
        </is>
      </c>
      <c r="B125" s="22">
        <f>IFERROR(INDEX('Tax Basis'!$B$8:$B$87,MATCH($A125,'Tax Basis'!$A$8:$A$87,0)),"Review-only vintage split")</f>
        <v/>
      </c>
      <c r="C125" s="23">
        <f>IFERROR(INDEX('Tax Basis'!$D$8:$D$87,MATCH($A125,'Tax Basis'!$A$8:$A$87,0)),Sale_Date)</f>
        <v/>
      </c>
      <c r="D125" s="4" t="n">
        <v>0</v>
      </c>
      <c r="E125" s="4" t="inlineStr">
        <is>
          <t>SL</t>
        </is>
      </c>
      <c r="F125" s="4" t="inlineStr">
        <is>
          <t>Mid-month</t>
        </is>
      </c>
      <c r="G125" s="8" t="n">
        <v>0</v>
      </c>
      <c r="H125" s="8" t="n">
        <v>0</v>
      </c>
      <c r="I125" s="8" t="n">
        <v>0</v>
      </c>
      <c r="J125" s="8">
        <f>MIN(G125,H125+I125)</f>
        <v/>
      </c>
      <c r="K125" s="8">
        <f>G125-J125</f>
        <v/>
      </c>
      <c r="L125" s="4" t="inlineStr">
        <is>
          <t>None</t>
        </is>
      </c>
      <c r="M125" s="4">
        <f>IF(AND(J125&lt;=G125,K125&gt;=0),"OK","CHECK")</f>
        <v/>
      </c>
    </row>
    <row r="126">
      <c r="A126" s="4" t="inlineStr">
        <is>
          <t>VINTAGE-039</t>
        </is>
      </c>
      <c r="B126" s="22">
        <f>IFERROR(INDEX('Tax Basis'!$B$8:$B$87,MATCH($A126,'Tax Basis'!$A$8:$A$87,0)),"Review-only vintage split")</f>
        <v/>
      </c>
      <c r="C126" s="23">
        <f>IFERROR(INDEX('Tax Basis'!$D$8:$D$87,MATCH($A126,'Tax Basis'!$A$8:$A$87,0)),Sale_Date)</f>
        <v/>
      </c>
      <c r="D126" s="4" t="n">
        <v>0</v>
      </c>
      <c r="E126" s="4" t="inlineStr">
        <is>
          <t>SL</t>
        </is>
      </c>
      <c r="F126" s="4" t="inlineStr">
        <is>
          <t>Mid-month</t>
        </is>
      </c>
      <c r="G126" s="8" t="n">
        <v>0</v>
      </c>
      <c r="H126" s="8" t="n">
        <v>0</v>
      </c>
      <c r="I126" s="8" t="n">
        <v>0</v>
      </c>
      <c r="J126" s="8">
        <f>MIN(G126,H126+I126)</f>
        <v/>
      </c>
      <c r="K126" s="8">
        <f>G126-J126</f>
        <v/>
      </c>
      <c r="L126" s="4" t="inlineStr">
        <is>
          <t>None</t>
        </is>
      </c>
      <c r="M126" s="4">
        <f>IF(AND(J126&lt;=G126,K126&gt;=0),"OK","CHECK")</f>
        <v/>
      </c>
    </row>
    <row r="127">
      <c r="A127" s="4" t="inlineStr">
        <is>
          <t>VINTAGE-040</t>
        </is>
      </c>
      <c r="B127" s="22">
        <f>IFERROR(INDEX('Tax Basis'!$B$8:$B$87,MATCH($A127,'Tax Basis'!$A$8:$A$87,0)),"Review-only vintage split")</f>
        <v/>
      </c>
      <c r="C127" s="23">
        <f>IFERROR(INDEX('Tax Basis'!$D$8:$D$87,MATCH($A127,'Tax Basis'!$A$8:$A$87,0)),Sale_Date)</f>
        <v/>
      </c>
      <c r="D127" s="4" t="n">
        <v>0</v>
      </c>
      <c r="E127" s="4" t="inlineStr">
        <is>
          <t>SL</t>
        </is>
      </c>
      <c r="F127" s="4" t="inlineStr">
        <is>
          <t>Mid-month</t>
        </is>
      </c>
      <c r="G127" s="8" t="n">
        <v>0</v>
      </c>
      <c r="H127" s="8" t="n">
        <v>0</v>
      </c>
      <c r="I127" s="8" t="n">
        <v>0</v>
      </c>
      <c r="J127" s="8">
        <f>MIN(G127,H127+I127)</f>
        <v/>
      </c>
      <c r="K127" s="8">
        <f>G127-J127</f>
        <v/>
      </c>
      <c r="L127" s="4" t="inlineStr">
        <is>
          <t>None</t>
        </is>
      </c>
      <c r="M127" s="4">
        <f>IF(AND(J127&lt;=G127,K127&gt;=0),"OK","CHECK")</f>
        <v/>
      </c>
    </row>
    <row r="128">
      <c r="A128" s="4" t="inlineStr">
        <is>
          <t>VINTAGE-041</t>
        </is>
      </c>
      <c r="B128" s="22">
        <f>IFERROR(INDEX('Tax Basis'!$B$8:$B$87,MATCH($A128,'Tax Basis'!$A$8:$A$87,0)),"Review-only vintage split")</f>
        <v/>
      </c>
      <c r="C128" s="23">
        <f>IFERROR(INDEX('Tax Basis'!$D$8:$D$87,MATCH($A128,'Tax Basis'!$A$8:$A$87,0)),Sale_Date)</f>
        <v/>
      </c>
      <c r="D128" s="4" t="n">
        <v>0</v>
      </c>
      <c r="E128" s="4" t="inlineStr">
        <is>
          <t>SL</t>
        </is>
      </c>
      <c r="F128" s="4" t="inlineStr">
        <is>
          <t>Mid-month</t>
        </is>
      </c>
      <c r="G128" s="8" t="n">
        <v>0</v>
      </c>
      <c r="H128" s="8" t="n">
        <v>0</v>
      </c>
      <c r="I128" s="8" t="n">
        <v>0</v>
      </c>
      <c r="J128" s="8">
        <f>MIN(G128,H128+I128)</f>
        <v/>
      </c>
      <c r="K128" s="8">
        <f>G128-J128</f>
        <v/>
      </c>
      <c r="L128" s="4" t="inlineStr">
        <is>
          <t>None</t>
        </is>
      </c>
      <c r="M128" s="4">
        <f>IF(AND(J128&lt;=G128,K128&gt;=0),"OK","CHECK")</f>
        <v/>
      </c>
    </row>
    <row r="129">
      <c r="A129" s="4" t="inlineStr">
        <is>
          <t>VINTAGE-042</t>
        </is>
      </c>
      <c r="B129" s="22">
        <f>IFERROR(INDEX('Tax Basis'!$B$8:$B$87,MATCH($A129,'Tax Basis'!$A$8:$A$87,0)),"Review-only vintage split")</f>
        <v/>
      </c>
      <c r="C129" s="23">
        <f>IFERROR(INDEX('Tax Basis'!$D$8:$D$87,MATCH($A129,'Tax Basis'!$A$8:$A$87,0)),Sale_Date)</f>
        <v/>
      </c>
      <c r="D129" s="4" t="n">
        <v>0</v>
      </c>
      <c r="E129" s="4" t="inlineStr">
        <is>
          <t>SL</t>
        </is>
      </c>
      <c r="F129" s="4" t="inlineStr">
        <is>
          <t>Mid-month</t>
        </is>
      </c>
      <c r="G129" s="8" t="n">
        <v>0</v>
      </c>
      <c r="H129" s="8" t="n">
        <v>0</v>
      </c>
      <c r="I129" s="8" t="n">
        <v>0</v>
      </c>
      <c r="J129" s="8">
        <f>MIN(G129,H129+I129)</f>
        <v/>
      </c>
      <c r="K129" s="8">
        <f>G129-J129</f>
        <v/>
      </c>
      <c r="L129" s="4" t="inlineStr">
        <is>
          <t>None</t>
        </is>
      </c>
      <c r="M129" s="4">
        <f>IF(AND(J129&lt;=G129,K129&gt;=0),"OK","CHECK")</f>
        <v/>
      </c>
    </row>
    <row r="130">
      <c r="A130" s="4" t="inlineStr">
        <is>
          <t>VINTAGE-043</t>
        </is>
      </c>
      <c r="B130" s="22">
        <f>IFERROR(INDEX('Tax Basis'!$B$8:$B$87,MATCH($A130,'Tax Basis'!$A$8:$A$87,0)),"Review-only vintage split")</f>
        <v/>
      </c>
      <c r="C130" s="23">
        <f>IFERROR(INDEX('Tax Basis'!$D$8:$D$87,MATCH($A130,'Tax Basis'!$A$8:$A$87,0)),Sale_Date)</f>
        <v/>
      </c>
      <c r="D130" s="4" t="n">
        <v>0</v>
      </c>
      <c r="E130" s="4" t="inlineStr">
        <is>
          <t>SL</t>
        </is>
      </c>
      <c r="F130" s="4" t="inlineStr">
        <is>
          <t>Mid-month</t>
        </is>
      </c>
      <c r="G130" s="8" t="n">
        <v>0</v>
      </c>
      <c r="H130" s="8" t="n">
        <v>0</v>
      </c>
      <c r="I130" s="8" t="n">
        <v>0</v>
      </c>
      <c r="J130" s="8">
        <f>MIN(G130,H130+I130)</f>
        <v/>
      </c>
      <c r="K130" s="8">
        <f>G130-J130</f>
        <v/>
      </c>
      <c r="L130" s="4" t="inlineStr">
        <is>
          <t>None</t>
        </is>
      </c>
      <c r="M130" s="4">
        <f>IF(AND(J130&lt;=G130,K130&gt;=0),"OK","CHECK")</f>
        <v/>
      </c>
    </row>
    <row r="131">
      <c r="A131" s="4" t="inlineStr">
        <is>
          <t>VINTAGE-044</t>
        </is>
      </c>
      <c r="B131" s="22">
        <f>IFERROR(INDEX('Tax Basis'!$B$8:$B$87,MATCH($A131,'Tax Basis'!$A$8:$A$87,0)),"Review-only vintage split")</f>
        <v/>
      </c>
      <c r="C131" s="23">
        <f>IFERROR(INDEX('Tax Basis'!$D$8:$D$87,MATCH($A131,'Tax Basis'!$A$8:$A$87,0)),Sale_Date)</f>
        <v/>
      </c>
      <c r="D131" s="4" t="n">
        <v>0</v>
      </c>
      <c r="E131" s="4" t="inlineStr">
        <is>
          <t>SL</t>
        </is>
      </c>
      <c r="F131" s="4" t="inlineStr">
        <is>
          <t>Mid-month</t>
        </is>
      </c>
      <c r="G131" s="8" t="n">
        <v>0</v>
      </c>
      <c r="H131" s="8" t="n">
        <v>0</v>
      </c>
      <c r="I131" s="8" t="n">
        <v>0</v>
      </c>
      <c r="J131" s="8">
        <f>MIN(G131,H131+I131)</f>
        <v/>
      </c>
      <c r="K131" s="8">
        <f>G131-J131</f>
        <v/>
      </c>
      <c r="L131" s="4" t="inlineStr">
        <is>
          <t>None</t>
        </is>
      </c>
      <c r="M131" s="4">
        <f>IF(AND(J131&lt;=G131,K131&gt;=0),"OK","CHECK")</f>
        <v/>
      </c>
    </row>
    <row r="132">
      <c r="A132" s="4" t="inlineStr">
        <is>
          <t>VINTAGE-045</t>
        </is>
      </c>
      <c r="B132" s="22">
        <f>IFERROR(INDEX('Tax Basis'!$B$8:$B$87,MATCH($A132,'Tax Basis'!$A$8:$A$87,0)),"Review-only vintage split")</f>
        <v/>
      </c>
      <c r="C132" s="23">
        <f>IFERROR(INDEX('Tax Basis'!$D$8:$D$87,MATCH($A132,'Tax Basis'!$A$8:$A$87,0)),Sale_Date)</f>
        <v/>
      </c>
      <c r="D132" s="4" t="n">
        <v>0</v>
      </c>
      <c r="E132" s="4" t="inlineStr">
        <is>
          <t>SL</t>
        </is>
      </c>
      <c r="F132" s="4" t="inlineStr">
        <is>
          <t>Mid-month</t>
        </is>
      </c>
      <c r="G132" s="8" t="n">
        <v>0</v>
      </c>
      <c r="H132" s="8" t="n">
        <v>0</v>
      </c>
      <c r="I132" s="8" t="n">
        <v>0</v>
      </c>
      <c r="J132" s="8">
        <f>MIN(G132,H132+I132)</f>
        <v/>
      </c>
      <c r="K132" s="8">
        <f>G132-J132</f>
        <v/>
      </c>
      <c r="L132" s="4" t="inlineStr">
        <is>
          <t>None</t>
        </is>
      </c>
      <c r="M132" s="4">
        <f>IF(AND(J132&lt;=G132,K132&gt;=0),"OK","CHECK")</f>
        <v/>
      </c>
    </row>
    <row r="133">
      <c r="A133" s="4" t="inlineStr">
        <is>
          <t>VINTAGE-046</t>
        </is>
      </c>
      <c r="B133" s="22">
        <f>IFERROR(INDEX('Tax Basis'!$B$8:$B$87,MATCH($A133,'Tax Basis'!$A$8:$A$87,0)),"Review-only vintage split")</f>
        <v/>
      </c>
      <c r="C133" s="23">
        <f>IFERROR(INDEX('Tax Basis'!$D$8:$D$87,MATCH($A133,'Tax Basis'!$A$8:$A$87,0)),Sale_Date)</f>
        <v/>
      </c>
      <c r="D133" s="4" t="n">
        <v>0</v>
      </c>
      <c r="E133" s="4" t="inlineStr">
        <is>
          <t>SL</t>
        </is>
      </c>
      <c r="F133" s="4" t="inlineStr">
        <is>
          <t>Mid-month</t>
        </is>
      </c>
      <c r="G133" s="8" t="n">
        <v>0</v>
      </c>
      <c r="H133" s="8" t="n">
        <v>0</v>
      </c>
      <c r="I133" s="8" t="n">
        <v>0</v>
      </c>
      <c r="J133" s="8">
        <f>MIN(G133,H133+I133)</f>
        <v/>
      </c>
      <c r="K133" s="8">
        <f>G133-J133</f>
        <v/>
      </c>
      <c r="L133" s="4" t="inlineStr">
        <is>
          <t>None</t>
        </is>
      </c>
      <c r="M133" s="4">
        <f>IF(AND(J133&lt;=G133,K133&gt;=0),"OK","CHECK")</f>
        <v/>
      </c>
    </row>
    <row r="134">
      <c r="A134" s="4" t="inlineStr">
        <is>
          <t>VINTAGE-047</t>
        </is>
      </c>
      <c r="B134" s="22">
        <f>IFERROR(INDEX('Tax Basis'!$B$8:$B$87,MATCH($A134,'Tax Basis'!$A$8:$A$87,0)),"Review-only vintage split")</f>
        <v/>
      </c>
      <c r="C134" s="23">
        <f>IFERROR(INDEX('Tax Basis'!$D$8:$D$87,MATCH($A134,'Tax Basis'!$A$8:$A$87,0)),Sale_Date)</f>
        <v/>
      </c>
      <c r="D134" s="4" t="n">
        <v>0</v>
      </c>
      <c r="E134" s="4" t="inlineStr">
        <is>
          <t>SL</t>
        </is>
      </c>
      <c r="F134" s="4" t="inlineStr">
        <is>
          <t>Mid-month</t>
        </is>
      </c>
      <c r="G134" s="8" t="n">
        <v>0</v>
      </c>
      <c r="H134" s="8" t="n">
        <v>0</v>
      </c>
      <c r="I134" s="8" t="n">
        <v>0</v>
      </c>
      <c r="J134" s="8">
        <f>MIN(G134,H134+I134)</f>
        <v/>
      </c>
      <c r="K134" s="8">
        <f>G134-J134</f>
        <v/>
      </c>
      <c r="L134" s="4" t="inlineStr">
        <is>
          <t>None</t>
        </is>
      </c>
      <c r="M134" s="4">
        <f>IF(AND(J134&lt;=G134,K134&gt;=0),"OK","CHECK")</f>
        <v/>
      </c>
    </row>
    <row r="135">
      <c r="A135" s="4" t="inlineStr">
        <is>
          <t>VINTAGE-048</t>
        </is>
      </c>
      <c r="B135" s="22">
        <f>IFERROR(INDEX('Tax Basis'!$B$8:$B$87,MATCH($A135,'Tax Basis'!$A$8:$A$87,0)),"Review-only vintage split")</f>
        <v/>
      </c>
      <c r="C135" s="23">
        <f>IFERROR(INDEX('Tax Basis'!$D$8:$D$87,MATCH($A135,'Tax Basis'!$A$8:$A$87,0)),Sale_Date)</f>
        <v/>
      </c>
      <c r="D135" s="4" t="n">
        <v>0</v>
      </c>
      <c r="E135" s="4" t="inlineStr">
        <is>
          <t>SL</t>
        </is>
      </c>
      <c r="F135" s="4" t="inlineStr">
        <is>
          <t>Mid-month</t>
        </is>
      </c>
      <c r="G135" s="8" t="n">
        <v>0</v>
      </c>
      <c r="H135" s="8" t="n">
        <v>0</v>
      </c>
      <c r="I135" s="8" t="n">
        <v>0</v>
      </c>
      <c r="J135" s="8">
        <f>MIN(G135,H135+I135)</f>
        <v/>
      </c>
      <c r="K135" s="8">
        <f>G135-J135</f>
        <v/>
      </c>
      <c r="L135" s="4" t="inlineStr">
        <is>
          <t>None</t>
        </is>
      </c>
      <c r="M135" s="4">
        <f>IF(AND(J135&lt;=G135,K135&gt;=0),"OK","CHECK")</f>
        <v/>
      </c>
    </row>
    <row r="136">
      <c r="A136" s="4" t="inlineStr">
        <is>
          <t>VINTAGE-049</t>
        </is>
      </c>
      <c r="B136" s="22">
        <f>IFERROR(INDEX('Tax Basis'!$B$8:$B$87,MATCH($A136,'Tax Basis'!$A$8:$A$87,0)),"Review-only vintage split")</f>
        <v/>
      </c>
      <c r="C136" s="23">
        <f>IFERROR(INDEX('Tax Basis'!$D$8:$D$87,MATCH($A136,'Tax Basis'!$A$8:$A$87,0)),Sale_Date)</f>
        <v/>
      </c>
      <c r="D136" s="4" t="n">
        <v>0</v>
      </c>
      <c r="E136" s="4" t="inlineStr">
        <is>
          <t>SL</t>
        </is>
      </c>
      <c r="F136" s="4" t="inlineStr">
        <is>
          <t>Mid-month</t>
        </is>
      </c>
      <c r="G136" s="8" t="n">
        <v>0</v>
      </c>
      <c r="H136" s="8" t="n">
        <v>0</v>
      </c>
      <c r="I136" s="8" t="n">
        <v>0</v>
      </c>
      <c r="J136" s="8">
        <f>MIN(G136,H136+I136)</f>
        <v/>
      </c>
      <c r="K136" s="8">
        <f>G136-J136</f>
        <v/>
      </c>
      <c r="L136" s="4" t="inlineStr">
        <is>
          <t>None</t>
        </is>
      </c>
      <c r="M136" s="4">
        <f>IF(AND(J136&lt;=G136,K136&gt;=0),"OK","CHECK")</f>
        <v/>
      </c>
    </row>
    <row r="137">
      <c r="A137" s="4" t="inlineStr">
        <is>
          <t>VINTAGE-050</t>
        </is>
      </c>
      <c r="B137" s="22">
        <f>IFERROR(INDEX('Tax Basis'!$B$8:$B$87,MATCH($A137,'Tax Basis'!$A$8:$A$87,0)),"Review-only vintage split")</f>
        <v/>
      </c>
      <c r="C137" s="23">
        <f>IFERROR(INDEX('Tax Basis'!$D$8:$D$87,MATCH($A137,'Tax Basis'!$A$8:$A$87,0)),Sale_Date)</f>
        <v/>
      </c>
      <c r="D137" s="4" t="n">
        <v>0</v>
      </c>
      <c r="E137" s="4" t="inlineStr">
        <is>
          <t>SL</t>
        </is>
      </c>
      <c r="F137" s="4" t="inlineStr">
        <is>
          <t>Mid-month</t>
        </is>
      </c>
      <c r="G137" s="8" t="n">
        <v>0</v>
      </c>
      <c r="H137" s="8" t="n">
        <v>0</v>
      </c>
      <c r="I137" s="8" t="n">
        <v>0</v>
      </c>
      <c r="J137" s="8">
        <f>MIN(G137,H137+I137)</f>
        <v/>
      </c>
      <c r="K137" s="8">
        <f>G137-J137</f>
        <v/>
      </c>
      <c r="L137" s="4" t="inlineStr">
        <is>
          <t>None</t>
        </is>
      </c>
      <c r="M137" s="4">
        <f>IF(AND(J137&lt;=G137,K137&gt;=0),"OK","CHECK")</f>
        <v/>
      </c>
    </row>
    <row r="138"/>
    <row r="139"/>
    <row r="140"/>
    <row r="141"/>
    <row r="142"/>
    <row r="143"/>
    <row r="144"/>
    <row r="145">
      <c r="A145" s="24" t="inlineStr">
        <is>
          <t>End of detailed depreciation schedule</t>
        </is>
      </c>
    </row>
  </sheetData>
  <autoFilter ref="A7:M137"/>
  <mergeCells count="2">
    <mergeCell ref="A2:M2"/>
    <mergeCell ref="A1:M1"/>
  </mergeCells>
  <conditionalFormatting sqref="M8:M137">
    <cfRule type="expression" priority="1" dxfId="4">
      <formula>$M8="CHECK"</formula>
    </cfRule>
  </conditionalFormatting>
  <conditionalFormatting sqref="J8:J137">
    <cfRule type="dataBar" priority="2">
      <dataBar>
        <cfvo type="min"/>
        <cfvo type="max"/>
        <color rgb="006FA8DC"/>
      </dataBar>
    </cfRule>
  </conditionalFormatting>
  <conditionalFormatting sqref="L8:L137">
    <cfRule type="expression" priority="3" dxfId="5">
      <formula>$L8="Section 1245"</formula>
    </cfRule>
    <cfRule type="expression" priority="4" dxfId="6">
      <formula>$L8="Section 1250"</formula>
    </cfRule>
  </conditionalFormatting>
  <dataValidations count="2">
    <dataValidation sqref="E8:E137" showDropDown="0" showInputMessage="0" showErrorMessage="0" allowBlank="1" type="list">
      <formula1>"SL,200% DB,150% DB"</formula1>
    </dataValidation>
    <dataValidation sqref="F8:F137" showDropDown="0" showInputMessage="0" showErrorMessage="0" allowBlank="1" type="list">
      <formula1>"Mid-month,Half-year,Mid-quarter"</formula1>
    </dataValidation>
  </dataValidations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zoomScale="85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17" customWidth="1" min="4" max="4"/>
    <col width="17" customWidth="1" min="5" max="5"/>
    <col width="17" customWidth="1" min="6" max="6"/>
    <col width="13" customWidth="1" min="7" max="7"/>
    <col width="19" customWidth="1" min="8" max="8"/>
    <col width="16" customWidth="1" min="9" max="9"/>
  </cols>
  <sheetData>
    <row r="1" ht="24" customHeight="1">
      <c r="A1" s="1" t="inlineStr">
        <is>
          <t>ADC Fairfax &amp; 3rd Disposal Tax Model — Direct Asset Sale</t>
        </is>
      </c>
    </row>
    <row r="2" ht="28" customHeight="1">
      <c r="A2" s="2" t="inlineStr">
        <is>
          <t>Fairfax &amp; 3rd Retail Center | Federal disposition gain and character analysis | Proposed closing September 30, 2025</t>
        </is>
      </c>
    </row>
    <row r="3"/>
    <row r="4"/>
    <row r="5"/>
    <row r="6"/>
    <row r="7"/>
    <row r="8"/>
    <row r="9"/>
    <row r="10" ht="18" customHeight="1">
      <c r="A10" s="11" t="inlineStr">
        <is>
          <t>Amount Realized</t>
        </is>
      </c>
    </row>
    <row r="11" ht="32" customHeight="1">
      <c r="A11" s="3" t="inlineStr">
        <is>
          <t>Line</t>
        </is>
      </c>
      <c r="B11" s="3" t="inlineStr">
        <is>
          <t>Calculation</t>
        </is>
      </c>
      <c r="C11" s="3" t="inlineStr">
        <is>
          <t>Authority / Basis</t>
        </is>
      </c>
      <c r="D11" s="3" t="inlineStr">
        <is>
          <t>Gross Amount</t>
        </is>
      </c>
      <c r="E11" s="3" t="inlineStr">
        <is>
          <t>Adjustment</t>
        </is>
      </c>
      <c r="F11" s="3" t="inlineStr">
        <is>
          <t>Net Amount</t>
        </is>
      </c>
      <c r="G11" s="3" t="inlineStr">
        <is>
          <t>Character %</t>
        </is>
      </c>
      <c r="H11" s="3" t="inlineStr">
        <is>
          <t>Tax Result</t>
        </is>
      </c>
      <c r="I11" s="3" t="inlineStr">
        <is>
          <t>Control</t>
        </is>
      </c>
    </row>
    <row r="12">
      <c r="A12" s="4" t="n">
        <v>1</v>
      </c>
      <c r="B12" s="4" t="inlineStr">
        <is>
          <t>Gross consideration</t>
        </is>
      </c>
      <c r="C12" s="4" t="inlineStr">
        <is>
          <t>IRC section 1001</t>
        </is>
      </c>
      <c r="D12" s="4">
        <f>Gross_Sale_Price</f>
        <v/>
      </c>
      <c r="E12" s="4" t="inlineStr"/>
      <c r="F12" s="4">
        <f>D12+E12</f>
        <v/>
      </c>
      <c r="G12" s="4" t="n"/>
      <c r="H12" s="4" t="n"/>
      <c r="I12" s="4" t="n"/>
    </row>
    <row r="13">
      <c r="A13" s="4" t="n">
        <v>2</v>
      </c>
      <c r="B13" s="4" t="inlineStr">
        <is>
          <t>Selling costs</t>
        </is>
      </c>
      <c r="C13" s="4" t="inlineStr">
        <is>
          <t>IRC section 1001</t>
        </is>
      </c>
      <c r="D13" s="4" t="inlineStr"/>
      <c r="E13" s="4">
        <f>-Selling_Costs</f>
        <v/>
      </c>
      <c r="F13" s="4">
        <f>D13+E13</f>
        <v/>
      </c>
      <c r="G13" s="4" t="n"/>
      <c r="H13" s="4" t="n"/>
      <c r="I13" s="4" t="n"/>
    </row>
    <row r="14">
      <c r="A14" s="4" t="n">
        <v>3</v>
      </c>
      <c r="B14" s="4" t="inlineStr">
        <is>
          <t>Amount realized</t>
        </is>
      </c>
      <c r="C14" s="4" t="inlineStr">
        <is>
          <t>Model convention</t>
        </is>
      </c>
      <c r="D14" s="4">
        <f>D12</f>
        <v/>
      </c>
      <c r="E14" s="4">
        <f>E13</f>
        <v/>
      </c>
      <c r="F14" s="4">
        <f>D14+E14</f>
        <v/>
      </c>
      <c r="G14" s="4" t="n"/>
      <c r="H14" s="8">
        <f>D14+E14</f>
        <v/>
      </c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18" customHeight="1">
      <c r="A18" s="9" t="inlineStr">
        <is>
          <t>Adjusted Tax Basis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32" customHeight="1">
      <c r="A19" s="9" t="inlineStr">
        <is>
          <t>Line</t>
        </is>
      </c>
      <c r="B19" s="9" t="inlineStr">
        <is>
          <t>Calculation</t>
        </is>
      </c>
      <c r="C19" s="9" t="inlineStr">
        <is>
          <t>Authority / Basis</t>
        </is>
      </c>
      <c r="D19" s="9" t="inlineStr">
        <is>
          <t>Gross Amount</t>
        </is>
      </c>
      <c r="E19" s="9" t="inlineStr">
        <is>
          <t>Adjustment</t>
        </is>
      </c>
      <c r="F19" s="9" t="inlineStr">
        <is>
          <t>Net Amount</t>
        </is>
      </c>
      <c r="G19" s="9" t="inlineStr">
        <is>
          <t>Character %</t>
        </is>
      </c>
      <c r="H19" s="9" t="inlineStr">
        <is>
          <t>Tax Result</t>
        </is>
      </c>
      <c r="I19" s="9" t="inlineStr">
        <is>
          <t>Control</t>
        </is>
      </c>
    </row>
    <row r="20">
      <c r="A20" s="4" t="n">
        <v>12</v>
      </c>
      <c r="B20" s="4" t="inlineStr">
        <is>
          <t>Adjusted tax basis</t>
        </is>
      </c>
      <c r="C20" s="4" t="inlineStr">
        <is>
          <t>Tax basis rollforward</t>
        </is>
      </c>
      <c r="D20" s="4">
        <f>Adjusted_Tax_Basis+Basis_Bridge</f>
        <v/>
      </c>
      <c r="E20" s="4" t="inlineStr"/>
      <c r="F20" s="4">
        <f>D20+E20</f>
        <v/>
      </c>
      <c r="G20" s="4" t="n"/>
      <c r="H20" s="4">
        <f>D20</f>
        <v/>
      </c>
      <c r="I20" s="4" t="n"/>
    </row>
    <row r="21">
      <c r="A21" s="4" t="n">
        <v>13</v>
      </c>
      <c r="B21" s="4" t="inlineStr">
        <is>
          <t>Basis bridge — transaction attributes</t>
        </is>
      </c>
      <c r="C21" s="4" t="inlineStr">
        <is>
          <t>Basis reconciliation</t>
        </is>
      </c>
      <c r="D21" s="4">
        <f>Basis_Bridge</f>
        <v/>
      </c>
      <c r="E21" s="4" t="inlineStr"/>
      <c r="F21" s="4">
        <f>D21+E21</f>
        <v/>
      </c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 ht="18" customHeight="1">
      <c r="A32" s="9" t="inlineStr">
        <is>
          <t>Federal Gain Character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32" customHeight="1">
      <c r="A33" s="9" t="inlineStr">
        <is>
          <t>Line</t>
        </is>
      </c>
      <c r="B33" s="9" t="inlineStr">
        <is>
          <t>Calculation</t>
        </is>
      </c>
      <c r="C33" s="9" t="inlineStr">
        <is>
          <t>Authority / Basis</t>
        </is>
      </c>
      <c r="D33" s="9" t="inlineStr">
        <is>
          <t>Gross Amount</t>
        </is>
      </c>
      <c r="E33" s="9" t="inlineStr">
        <is>
          <t>Adjustment</t>
        </is>
      </c>
      <c r="F33" s="9" t="inlineStr">
        <is>
          <t>Net Amount</t>
        </is>
      </c>
      <c r="G33" s="9" t="inlineStr">
        <is>
          <t>Character %</t>
        </is>
      </c>
      <c r="H33" s="9" t="inlineStr">
        <is>
          <t>Tax Result</t>
        </is>
      </c>
      <c r="I33" s="9" t="inlineStr">
        <is>
          <t>Control</t>
        </is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>
        <v>13</v>
      </c>
      <c r="B35" s="4" t="inlineStr">
        <is>
          <t>Section 1245 ordinary recapture</t>
        </is>
      </c>
      <c r="C35" s="4" t="inlineStr">
        <is>
          <t>IRC section 1245</t>
        </is>
      </c>
      <c r="D35" s="4" t="n"/>
      <c r="E35" s="4" t="n"/>
      <c r="F35" s="4">
        <f>H35</f>
        <v/>
      </c>
      <c r="G35" s="4">
        <f>IF($H$44=0,0,H35/$H$44)</f>
        <v/>
      </c>
      <c r="H35" s="25">
        <f>Assumption_Section_1245</f>
        <v/>
      </c>
      <c r="I35" s="4" t="n"/>
    </row>
    <row r="36">
      <c r="A36" s="4" t="n">
        <v>14</v>
      </c>
      <c r="B36" s="4" t="inlineStr">
        <is>
          <t>Section 291 ordinary income</t>
        </is>
      </c>
      <c r="C36" s="4" t="inlineStr">
        <is>
          <t>IRC section 291</t>
        </is>
      </c>
      <c r="D36" s="4" t="n"/>
      <c r="E36" s="4" t="n"/>
      <c r="F36" s="4">
        <f>H36</f>
        <v/>
      </c>
      <c r="G36" s="4">
        <f>IF($H$44=0,0,H36/$H$44)</f>
        <v/>
      </c>
      <c r="H36" s="26">
        <f>Assumption_Section_291</f>
        <v/>
      </c>
      <c r="I36" s="4" t="n"/>
    </row>
    <row r="37">
      <c r="A37" s="4" t="n">
        <v>15</v>
      </c>
      <c r="B37" s="4" t="inlineStr">
        <is>
          <t>Unrecaptured section 1250 gain</t>
        </is>
      </c>
      <c r="C37" s="4" t="inlineStr">
        <is>
          <t>IRS Publication 544</t>
        </is>
      </c>
      <c r="D37" s="4" t="n"/>
      <c r="E37" s="4" t="n"/>
      <c r="F37" s="4">
        <f>H37</f>
        <v/>
      </c>
      <c r="G37" s="4">
        <f>IF($H$44=0,0,H37/$H$44)</f>
        <v/>
      </c>
      <c r="H37" s="27">
        <f>Assumption_Unrecaptured_1250</f>
        <v/>
      </c>
      <c r="I37" s="4" t="n"/>
    </row>
    <row r="38">
      <c r="A38" s="4" t="n">
        <v>16</v>
      </c>
      <c r="B38" s="4" t="inlineStr">
        <is>
          <t>Residual section 1231 gain</t>
        </is>
      </c>
      <c r="C38" s="4" t="inlineStr">
        <is>
          <t>IRS Publication 544</t>
        </is>
      </c>
      <c r="D38" s="4" t="n"/>
      <c r="E38" s="4" t="n"/>
      <c r="F38" s="4">
        <f>H38</f>
        <v/>
      </c>
      <c r="G38" s="4">
        <f>IF($H$44=0,0,H38/$H$44)</f>
        <v/>
      </c>
      <c r="H38" s="28">
        <f>Assumption_Residual_1231</f>
        <v/>
      </c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 ht="18" customHeight="1">
      <c r="A42" s="9" t="inlineStr">
        <is>
          <t>Total Taxable Gain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32" customHeight="1">
      <c r="A43" s="9" t="inlineStr">
        <is>
          <t>Line</t>
        </is>
      </c>
      <c r="B43" s="9" t="inlineStr">
        <is>
          <t>Calculation</t>
        </is>
      </c>
      <c r="C43" s="9" t="inlineStr">
        <is>
          <t>Authority / Basis</t>
        </is>
      </c>
      <c r="D43" s="9" t="inlineStr">
        <is>
          <t>Gross Amount</t>
        </is>
      </c>
      <c r="E43" s="9" t="inlineStr">
        <is>
          <t>Adjustment</t>
        </is>
      </c>
      <c r="F43" s="9" t="inlineStr">
        <is>
          <t>Net Amount</t>
        </is>
      </c>
      <c r="G43" s="9" t="inlineStr">
        <is>
          <t>Character %</t>
        </is>
      </c>
      <c r="H43" s="9" t="inlineStr">
        <is>
          <t>Tax Result</t>
        </is>
      </c>
      <c r="I43" s="9" t="inlineStr">
        <is>
          <t>Control</t>
        </is>
      </c>
    </row>
    <row r="44">
      <c r="A44" s="4" t="n"/>
      <c r="B44" s="4" t="inlineStr">
        <is>
          <t>Total federal taxable gain</t>
        </is>
      </c>
      <c r="C44" s="4" t="n"/>
      <c r="D44" s="4" t="n"/>
      <c r="E44" s="4" t="n"/>
      <c r="F44" s="4" t="n"/>
      <c r="G44" s="4" t="n"/>
      <c r="H44" s="29">
        <f>ROUND(H14-H20,2)</f>
        <v/>
      </c>
      <c r="I44" s="8">
        <f>ROUND(SUM(H35:H38)-H44,2)</f>
        <v/>
      </c>
    </row>
    <row r="45">
      <c r="A45" s="4" t="n">
        <v>1</v>
      </c>
      <c r="B45" s="4" t="inlineStr">
        <is>
          <t>Character check</t>
        </is>
      </c>
      <c r="C45" s="4" t="n"/>
      <c r="D45" s="4" t="n"/>
      <c r="E45" s="4" t="n"/>
      <c r="F45" s="4" t="n"/>
      <c r="G45" s="4" t="n"/>
      <c r="H45" s="4" t="n"/>
      <c r="I45" s="8">
        <f>IF(I44=0,0,0)</f>
        <v/>
      </c>
    </row>
    <row r="46">
      <c r="A46" s="4" t="n">
        <v>2</v>
      </c>
      <c r="B46" s="4" t="inlineStr">
        <is>
          <t>Basis check</t>
        </is>
      </c>
      <c r="C46" s="4" t="n"/>
      <c r="D46" s="4" t="n"/>
      <c r="E46" s="4" t="n"/>
      <c r="F46" s="4" t="n"/>
      <c r="G46" s="4" t="n"/>
      <c r="H46" s="4" t="n"/>
      <c r="I46" s="8">
        <f>IF(0=0,0,0)</f>
        <v/>
      </c>
    </row>
    <row r="47">
      <c r="A47" s="4" t="n">
        <v>3</v>
      </c>
      <c r="B47" s="4" t="inlineStr">
        <is>
          <t>Amount realized check</t>
        </is>
      </c>
      <c r="C47" s="4" t="n"/>
      <c r="D47" s="4" t="n"/>
      <c r="E47" s="4" t="n"/>
      <c r="F47" s="4" t="n"/>
      <c r="G47" s="4" t="n"/>
      <c r="H47" s="4" t="n"/>
      <c r="I47" s="8">
        <f>IF(0=0,0,0)</f>
        <v/>
      </c>
    </row>
    <row r="48">
      <c r="A48" s="4" t="n">
        <v>4</v>
      </c>
      <c r="B48" s="4" t="inlineStr">
        <is>
          <t>Total gain control</t>
        </is>
      </c>
      <c r="C48" s="4" t="n"/>
      <c r="D48" s="4" t="n"/>
      <c r="E48" s="4" t="n"/>
      <c r="F48" s="4" t="n"/>
      <c r="G48" s="4" t="n"/>
      <c r="H48" s="4" t="n"/>
      <c r="I48" s="8">
        <f>IF(0=0,0,0)</f>
        <v/>
      </c>
    </row>
  </sheetData>
  <autoFilter ref="A33:I48"/>
  <mergeCells count="6">
    <mergeCell ref="A2:I2"/>
    <mergeCell ref="A10:I10"/>
    <mergeCell ref="A42:I42"/>
    <mergeCell ref="A32:I32"/>
    <mergeCell ref="A1:I1"/>
    <mergeCell ref="A18:I18"/>
  </mergeCells>
  <conditionalFormatting sqref="I45:I48">
    <cfRule type="cellIs" priority="1" operator="notEqual" dxfId="4">
      <formula>0</formula>
    </cfRule>
  </conditionalFormatting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85" workbookViewId="0">
      <pane xSplit="2" ySplit="28" topLeftCell="C2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8" customWidth="1" min="4" max="4"/>
    <col width="16" customWidth="1" min="5" max="5"/>
    <col width="18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</cols>
  <sheetData>
    <row r="1" ht="24" customHeight="1">
      <c r="A1" s="1" t="inlineStr">
        <is>
          <t>ADC Fairfax &amp; 3rd Disposal Tax Model — Installment Sale</t>
        </is>
      </c>
    </row>
    <row r="2" ht="28" customHeight="1">
      <c r="A2" s="2" t="inlineStr">
        <is>
          <t>IRC section 453 analysis with full-year recapture, principal collections, stated interest, and California withholding review.</t>
        </is>
      </c>
    </row>
    <row r="3"/>
    <row r="4"/>
    <row r="5"/>
    <row r="6"/>
    <row r="7"/>
    <row r="8"/>
    <row r="9"/>
    <row r="10" ht="18" customHeight="1">
      <c r="A10" s="11" t="inlineStr">
        <is>
          <t>Gross-Profit Computation</t>
        </is>
      </c>
    </row>
    <row r="11" ht="32" customHeight="1">
      <c r="A11" s="3" t="inlineStr">
        <is>
          <t>Metric</t>
        </is>
      </c>
      <c r="B11" s="3" t="inlineStr">
        <is>
          <t>Value</t>
        </is>
      </c>
      <c r="C11" s="3" t="inlineStr">
        <is>
          <t>Basis / Note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/>
    <row r="13"/>
    <row r="14">
      <c r="A14" s="19" t="inlineStr">
        <is>
          <t>Eligible contract price</t>
        </is>
      </c>
      <c r="C14" s="19" t="inlineStr">
        <is>
          <t>Gross consideration less modeled direct-sale costs</t>
        </is>
      </c>
      <c r="H14" s="30">
        <f>Gross_Sale_Price</f>
        <v/>
      </c>
    </row>
    <row r="15">
      <c r="A15" s="19" t="inlineStr">
        <is>
          <t>Eligible installment gain</t>
        </is>
      </c>
      <c r="C15" s="19" t="inlineStr">
        <is>
          <t>Total gain less sections 1245 and 291</t>
        </is>
      </c>
      <c r="H15" s="30">
        <f>Direct_Sale_Total_Gain-Section_1245_Recapture-Section_291_Income</f>
        <v/>
      </c>
    </row>
    <row r="16">
      <c r="A16" s="19" t="inlineStr">
        <is>
          <t>Recapture recognized in 2025</t>
        </is>
      </c>
      <c r="C16" s="19" t="inlineStr">
        <is>
          <t>Mandatory year-of-sale recapture</t>
        </is>
      </c>
      <c r="H16" s="30">
        <f>Section_1245_Recapture+Section_291_Income</f>
        <v/>
      </c>
    </row>
    <row r="17"/>
    <row r="18">
      <c r="A18" s="19" t="inlineStr">
        <is>
          <t>2025 recognized gain</t>
        </is>
      </c>
      <c r="C18" s="19" t="inlineStr">
        <is>
          <t>Anchor: $3,935,308.98</t>
        </is>
      </c>
      <c r="H18" s="31">
        <f>J29</f>
        <v/>
      </c>
    </row>
    <row r="19">
      <c r="A19" s="19" t="inlineStr">
        <is>
          <t>2025 deferred eligible gain</t>
        </is>
      </c>
      <c r="C19" s="19" t="inlineStr">
        <is>
          <t>Anchor: $5,884,887.52</t>
        </is>
      </c>
      <c r="H19" s="32">
        <f>K29</f>
        <v/>
      </c>
    </row>
    <row r="20"/>
    <row r="21"/>
    <row r="22"/>
    <row r="23"/>
    <row r="24"/>
    <row r="25"/>
    <row r="26" ht="18" customHeight="1">
      <c r="A26" s="11" t="inlineStr">
        <is>
          <t>Annual Payment and Recognition Schedule</t>
        </is>
      </c>
    </row>
    <row r="27" ht="32" customHeight="1">
      <c r="A27" s="3" t="inlineStr">
        <is>
          <t>Period</t>
        </is>
      </c>
      <c r="B27" s="3" t="inlineStr">
        <is>
          <t>Payment Date</t>
        </is>
      </c>
      <c r="C27" s="3" t="inlineStr">
        <is>
          <t>Beginning Principal</t>
        </is>
      </c>
      <c r="D27" s="3" t="inlineStr">
        <is>
          <t>Principal Collected</t>
        </is>
      </c>
      <c r="E27" s="3" t="inlineStr">
        <is>
          <t>Stated Interest</t>
        </is>
      </c>
      <c r="F27" s="3" t="inlineStr">
        <is>
          <t>Ending Principal</t>
        </is>
      </c>
      <c r="G27" s="3" t="inlineStr">
        <is>
          <t>Gross-Profit Percentage</t>
        </is>
      </c>
      <c r="H27" s="3" t="inlineStr">
        <is>
          <t>Recognized Eligible Gain</t>
        </is>
      </c>
      <c r="I27" s="3" t="inlineStr">
        <is>
          <t>Recapture Recognized</t>
        </is>
      </c>
      <c r="J27" s="3" t="inlineStr">
        <is>
          <t>Total Gain Recognized</t>
        </is>
      </c>
      <c r="K27" s="3" t="inlineStr">
        <is>
          <t>Deferred Eligible Gain</t>
        </is>
      </c>
      <c r="L27" s="3" t="inlineStr">
        <is>
          <t>CA Principal Withholding</t>
        </is>
      </c>
    </row>
    <row r="28"/>
    <row r="29">
      <c r="A29" s="4" t="n">
        <v>2025</v>
      </c>
      <c r="B29" s="14" t="n">
        <v>45930</v>
      </c>
      <c r="C29" s="8">
        <f>IF(A29=2025,$H$14,F28)</f>
        <v/>
      </c>
      <c r="D29" s="6">
        <f>Assumptions!$D$18</f>
        <v/>
      </c>
      <c r="E29" s="8">
        <f>ROUND(C29*Installment_Rate*YEARFRAC(DATE(A29,1,1),B29,0),2)</f>
        <v/>
      </c>
      <c r="F29" s="8">
        <f>MAX(0,C29-D29)</f>
        <v/>
      </c>
      <c r="G29" s="4">
        <f>$H$15/$H$14</f>
        <v/>
      </c>
      <c r="H29" s="8">
        <f>ROUND(D29*G29,2)</f>
        <v/>
      </c>
      <c r="I29" s="8">
        <f>IF(A29=2025,$H$16,0)</f>
        <v/>
      </c>
      <c r="J29" s="8">
        <f>H29+I29</f>
        <v/>
      </c>
      <c r="K29" s="8">
        <f>MAX(0,$H$15-SUM($H$29:H29))</f>
        <v/>
      </c>
      <c r="L29" s="8">
        <f>ROUND(D29*CA_Withholding_Rate,2)</f>
        <v/>
      </c>
    </row>
    <row r="30">
      <c r="A30" s="4" t="n">
        <v>2026</v>
      </c>
      <c r="B30" s="14" t="n">
        <v>46295</v>
      </c>
      <c r="C30" s="8">
        <f>IF(A30=2025,$H$14,F29)</f>
        <v/>
      </c>
      <c r="D30" s="8">
        <f>IF(A30=2034,F29,MIN(F29,Installment_Contract_Price/9))</f>
        <v/>
      </c>
      <c r="E30" s="8">
        <f>ROUND(C30*Installment_Rate*YEARFRAC(DATE(A30,1,1),B30,0),2)</f>
        <v/>
      </c>
      <c r="F30" s="8">
        <f>MAX(0,C30-D30)</f>
        <v/>
      </c>
      <c r="G30" s="4">
        <f>$H$15/$H$14</f>
        <v/>
      </c>
      <c r="H30" s="8">
        <f>ROUND(D30*G30,2)</f>
        <v/>
      </c>
      <c r="I30" s="8">
        <f>IF(A30=2025,$H$16,0)</f>
        <v/>
      </c>
      <c r="J30" s="8">
        <f>H30+I30</f>
        <v/>
      </c>
      <c r="K30" s="8">
        <f>MAX(0,$H$15-SUM($H$29:H30))</f>
        <v/>
      </c>
      <c r="L30" s="8">
        <f>ROUND(D30*CA_Withholding_Rate,2)</f>
        <v/>
      </c>
    </row>
    <row r="31">
      <c r="A31" s="4" t="n">
        <v>2027</v>
      </c>
      <c r="B31" s="14" t="n">
        <v>46660</v>
      </c>
      <c r="C31" s="8">
        <f>IF(A31=2025,$H$14,F30)</f>
        <v/>
      </c>
      <c r="D31" s="8">
        <f>IF(A31=2034,F30,MIN(F30,Installment_Contract_Price/9))</f>
        <v/>
      </c>
      <c r="E31" s="8">
        <f>ROUND(C31*Installment_Rate*YEARFRAC(DATE(A31,1,1),B31,0),2)</f>
        <v/>
      </c>
      <c r="F31" s="8">
        <f>MAX(0,C31-D31)</f>
        <v/>
      </c>
      <c r="G31" s="4">
        <f>$H$15/$H$14</f>
        <v/>
      </c>
      <c r="H31" s="8">
        <f>ROUND(D31*G31,2)</f>
        <v/>
      </c>
      <c r="I31" s="8">
        <f>IF(A31=2025,$H$16,0)</f>
        <v/>
      </c>
      <c r="J31" s="8">
        <f>H31+I31</f>
        <v/>
      </c>
      <c r="K31" s="8">
        <f>MAX(0,$H$15-SUM($H$29:H31))</f>
        <v/>
      </c>
      <c r="L31" s="8">
        <f>ROUND(D31*CA_Withholding_Rate,2)</f>
        <v/>
      </c>
    </row>
    <row r="32">
      <c r="A32" s="4" t="n">
        <v>2028</v>
      </c>
      <c r="B32" s="14" t="n">
        <v>47026</v>
      </c>
      <c r="C32" s="8">
        <f>IF(A32=2025,$H$14,F31)</f>
        <v/>
      </c>
      <c r="D32" s="8">
        <f>IF(A32=2034,F31,MIN(F31,Installment_Contract_Price/9))</f>
        <v/>
      </c>
      <c r="E32" s="8">
        <f>ROUND(C32*Installment_Rate*YEARFRAC(DATE(A32,1,1),B32,0),2)</f>
        <v/>
      </c>
      <c r="F32" s="8">
        <f>MAX(0,C32-D32)</f>
        <v/>
      </c>
      <c r="G32" s="4">
        <f>$H$15/$H$14</f>
        <v/>
      </c>
      <c r="H32" s="8">
        <f>ROUND(D32*G32,2)</f>
        <v/>
      </c>
      <c r="I32" s="8">
        <f>IF(A32=2025,$H$16,0)</f>
        <v/>
      </c>
      <c r="J32" s="8">
        <f>H32+I32</f>
        <v/>
      </c>
      <c r="K32" s="8">
        <f>MAX(0,$H$15-SUM($H$29:H32))</f>
        <v/>
      </c>
      <c r="L32" s="8">
        <f>ROUND(D32*CA_Withholding_Rate,2)</f>
        <v/>
      </c>
    </row>
    <row r="33">
      <c r="A33" s="4" t="n">
        <v>2029</v>
      </c>
      <c r="B33" s="14" t="n">
        <v>47391</v>
      </c>
      <c r="C33" s="8">
        <f>IF(A33=2025,$H$14,F32)</f>
        <v/>
      </c>
      <c r="D33" s="8">
        <f>IF(A33=2034,F32,MIN(F32,Installment_Contract_Price/9))</f>
        <v/>
      </c>
      <c r="E33" s="8">
        <f>ROUND(C33*Installment_Rate*YEARFRAC(DATE(A33,1,1),B33,0),2)</f>
        <v/>
      </c>
      <c r="F33" s="8">
        <f>MAX(0,C33-D33)</f>
        <v/>
      </c>
      <c r="G33" s="4">
        <f>$H$15/$H$14</f>
        <v/>
      </c>
      <c r="H33" s="8">
        <f>ROUND(D33*G33,2)</f>
        <v/>
      </c>
      <c r="I33" s="8">
        <f>IF(A33=2025,$H$16,0)</f>
        <v/>
      </c>
      <c r="J33" s="8">
        <f>H33+I33</f>
        <v/>
      </c>
      <c r="K33" s="8">
        <f>MAX(0,$H$15-SUM($H$29:H33))</f>
        <v/>
      </c>
      <c r="L33" s="8">
        <f>ROUND(D33*CA_Withholding_Rate,2)</f>
        <v/>
      </c>
    </row>
    <row r="34">
      <c r="A34" s="4" t="n">
        <v>2030</v>
      </c>
      <c r="B34" s="14" t="n">
        <v>47756</v>
      </c>
      <c r="C34" s="8">
        <f>IF(A34=2025,$H$14,F33)</f>
        <v/>
      </c>
      <c r="D34" s="8">
        <f>IF(A34=2034,F33,MIN(F33,Installment_Contract_Price/9))</f>
        <v/>
      </c>
      <c r="E34" s="8">
        <f>ROUND(C34*Installment_Rate*YEARFRAC(DATE(A34,1,1),B34,0),2)</f>
        <v/>
      </c>
      <c r="F34" s="8">
        <f>MAX(0,C34-D34)</f>
        <v/>
      </c>
      <c r="G34" s="4">
        <f>$H$15/$H$14</f>
        <v/>
      </c>
      <c r="H34" s="8">
        <f>ROUND(D34*G34,2)</f>
        <v/>
      </c>
      <c r="I34" s="8">
        <f>IF(A34=2025,$H$16,0)</f>
        <v/>
      </c>
      <c r="J34" s="8">
        <f>H34+I34</f>
        <v/>
      </c>
      <c r="K34" s="8">
        <f>MAX(0,$H$15-SUM($H$29:H34))</f>
        <v/>
      </c>
      <c r="L34" s="8">
        <f>ROUND(D34*CA_Withholding_Rate,2)</f>
        <v/>
      </c>
    </row>
    <row r="35">
      <c r="A35" s="4" t="n">
        <v>2031</v>
      </c>
      <c r="B35" s="14" t="n">
        <v>48121</v>
      </c>
      <c r="C35" s="8">
        <f>IF(A35=2025,$H$14,F34)</f>
        <v/>
      </c>
      <c r="D35" s="8">
        <f>IF(A35=2034,F34,MIN(F34,Installment_Contract_Price/9))</f>
        <v/>
      </c>
      <c r="E35" s="8">
        <f>ROUND(C35*Installment_Rate*YEARFRAC(DATE(A35,1,1),B35,0),2)</f>
        <v/>
      </c>
      <c r="F35" s="8">
        <f>MAX(0,C35-D35)</f>
        <v/>
      </c>
      <c r="G35" s="4">
        <f>$H$15/$H$14</f>
        <v/>
      </c>
      <c r="H35" s="8">
        <f>ROUND(D35*G35,2)</f>
        <v/>
      </c>
      <c r="I35" s="8">
        <f>IF(A35=2025,$H$16,0)</f>
        <v/>
      </c>
      <c r="J35" s="8">
        <f>H35+I35</f>
        <v/>
      </c>
      <c r="K35" s="8">
        <f>MAX(0,$H$15-SUM($H$29:H35))</f>
        <v/>
      </c>
      <c r="L35" s="8">
        <f>ROUND(D35*CA_Withholding_Rate,2)</f>
        <v/>
      </c>
    </row>
    <row r="36">
      <c r="A36" s="4" t="n">
        <v>2032</v>
      </c>
      <c r="B36" s="14" t="n">
        <v>48487</v>
      </c>
      <c r="C36" s="8">
        <f>IF(A36=2025,$H$14,F35)</f>
        <v/>
      </c>
      <c r="D36" s="8">
        <f>IF(A36=2034,F35,MIN(F35,Installment_Contract_Price/9))</f>
        <v/>
      </c>
      <c r="E36" s="8">
        <f>ROUND(C36*Installment_Rate*YEARFRAC(DATE(A36,1,1),B36,0),2)</f>
        <v/>
      </c>
      <c r="F36" s="8">
        <f>MAX(0,C36-D36)</f>
        <v/>
      </c>
      <c r="G36" s="4">
        <f>$H$15/$H$14</f>
        <v/>
      </c>
      <c r="H36" s="8">
        <f>ROUND(D36*G36,2)</f>
        <v/>
      </c>
      <c r="I36" s="8">
        <f>IF(A36=2025,$H$16,0)</f>
        <v/>
      </c>
      <c r="J36" s="8">
        <f>H36+I36</f>
        <v/>
      </c>
      <c r="K36" s="8">
        <f>MAX(0,$H$15-SUM($H$29:H36))</f>
        <v/>
      </c>
      <c r="L36" s="8">
        <f>ROUND(D36*CA_Withholding_Rate,2)</f>
        <v/>
      </c>
    </row>
    <row r="37">
      <c r="A37" s="4" t="n">
        <v>2033</v>
      </c>
      <c r="B37" s="14" t="n">
        <v>48852</v>
      </c>
      <c r="C37" s="8">
        <f>IF(A37=2025,$H$14,F36)</f>
        <v/>
      </c>
      <c r="D37" s="8">
        <f>IF(A37=2034,F36,MIN(F36,Installment_Contract_Price/9))</f>
        <v/>
      </c>
      <c r="E37" s="8">
        <f>ROUND(C37*Installment_Rate*YEARFRAC(DATE(A37,1,1),B37,0),2)</f>
        <v/>
      </c>
      <c r="F37" s="8">
        <f>MAX(0,C37-D37)</f>
        <v/>
      </c>
      <c r="G37" s="4">
        <f>$H$15/$H$14</f>
        <v/>
      </c>
      <c r="H37" s="8">
        <f>ROUND(D37*G37,2)</f>
        <v/>
      </c>
      <c r="I37" s="8">
        <f>IF(A37=2025,$H$16,0)</f>
        <v/>
      </c>
      <c r="J37" s="8">
        <f>H37+I37</f>
        <v/>
      </c>
      <c r="K37" s="8">
        <f>MAX(0,$H$15-SUM($H$29:H37))</f>
        <v/>
      </c>
      <c r="L37" s="8">
        <f>ROUND(D37*CA_Withholding_Rate,2)</f>
        <v/>
      </c>
    </row>
    <row r="38">
      <c r="A38" s="4" t="n">
        <v>2034</v>
      </c>
      <c r="B38" s="14" t="n">
        <v>49217</v>
      </c>
      <c r="C38" s="8">
        <f>IF(A38=2025,$H$14,F37)</f>
        <v/>
      </c>
      <c r="D38" s="8">
        <f>IF(A38=2034,F37,MIN(F37,Installment_Contract_Price/9))</f>
        <v/>
      </c>
      <c r="E38" s="8">
        <f>ROUND(C38*Installment_Rate*YEARFRAC(DATE(A38,1,1),B38,0),2)</f>
        <v/>
      </c>
      <c r="F38" s="8">
        <f>MAX(0,C38-D38)</f>
        <v/>
      </c>
      <c r="G38" s="4">
        <f>$H$15/$H$14</f>
        <v/>
      </c>
      <c r="H38" s="8">
        <f>ROUND(D38*G38,2)</f>
        <v/>
      </c>
      <c r="I38" s="8">
        <f>IF(A38=2025,$H$16,0)</f>
        <v/>
      </c>
      <c r="J38" s="8">
        <f>H38+I38</f>
        <v/>
      </c>
      <c r="K38" s="8">
        <f>MAX(0,$H$15-SUM($H$29:H38))</f>
        <v/>
      </c>
      <c r="L38" s="8">
        <f>ROUND(D38*CA_Withholding_Rate,2)</f>
        <v/>
      </c>
    </row>
  </sheetData>
  <autoFilter ref="A28:L38"/>
  <mergeCells count="4">
    <mergeCell ref="A10:L10"/>
    <mergeCell ref="A2:L2"/>
    <mergeCell ref="A1:L1"/>
    <mergeCell ref="A26:L26"/>
  </mergeCells>
  <conditionalFormatting sqref="J29:J38">
    <cfRule type="dataBar" priority="1">
      <dataBar>
        <cfvo type="min"/>
        <cfvo type="max"/>
        <color rgb="006FA8DC"/>
      </dataBar>
    </cfRule>
  </conditionalFormatting>
  <conditionalFormatting sqref="K29:K38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zoomScale="85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18" customWidth="1" min="4" max="4"/>
    <col width="18" customWidth="1" min="5" max="5"/>
    <col width="18" customWidth="1" min="6" max="6"/>
    <col width="13" customWidth="1" min="7" max="7"/>
    <col width="20" customWidth="1" min="8" max="8"/>
    <col width="34" customWidth="1" min="9" max="9"/>
  </cols>
  <sheetData>
    <row r="1" ht="24" customHeight="1">
      <c r="A1" s="1" t="inlineStr">
        <is>
          <t>ADC Fairfax &amp; 3rd Disposal Tax Model — Partnership Interest Transfer</t>
        </is>
      </c>
    </row>
    <row r="2" ht="28" customHeight="1">
      <c r="A2" s="2" t="inlineStr">
        <is>
          <t>ADC Fairfax Retail Partners LP interest transfer | Sections 741, 751, 752, 1446(f), and FIRPTA review.</t>
        </is>
      </c>
    </row>
    <row r="3"/>
    <row r="4"/>
    <row r="5"/>
    <row r="6"/>
    <row r="7"/>
    <row r="8"/>
    <row r="9"/>
    <row r="10" ht="18" customHeight="1">
      <c r="A10" s="11" t="inlineStr">
        <is>
          <t>Amount Realized</t>
        </is>
      </c>
    </row>
    <row r="11" ht="32" customHeight="1">
      <c r="A11" s="3" t="inlineStr">
        <is>
          <t>Line</t>
        </is>
      </c>
      <c r="B11" s="3" t="inlineStr">
        <is>
          <t>Item</t>
        </is>
      </c>
      <c r="C11" s="3" t="inlineStr">
        <is>
          <t>Tax Rule</t>
        </is>
      </c>
      <c r="D11" s="3" t="inlineStr">
        <is>
          <t>Book / Deal Amount</t>
        </is>
      </c>
      <c r="E11" s="3" t="inlineStr">
        <is>
          <t>Tax Adjustment</t>
        </is>
      </c>
      <c r="F11" s="3" t="inlineStr">
        <is>
          <t>Tax Amount</t>
        </is>
      </c>
      <c r="G11" s="3" t="inlineStr">
        <is>
          <t>Character %</t>
        </is>
      </c>
      <c r="H11" s="3" t="inlineStr">
        <is>
          <t>Result</t>
        </is>
      </c>
      <c r="I11" s="3" t="inlineStr">
        <is>
          <t>Status / Conclusion</t>
        </is>
      </c>
    </row>
    <row r="12">
      <c r="A12" s="4" t="n">
        <v>1</v>
      </c>
      <c r="B12" s="4" t="inlineStr">
        <is>
          <t>Cash equity consideration</t>
        </is>
      </c>
      <c r="C12" s="4" t="inlineStr">
        <is>
          <t>IRC section 741</t>
        </is>
      </c>
      <c r="D12" s="4">
        <f>Cash_Equity_Consideration</f>
        <v/>
      </c>
      <c r="E12" s="4" t="inlineStr"/>
      <c r="F12" s="4">
        <f>D12+E12</f>
        <v/>
      </c>
      <c r="G12" s="4" t="n"/>
      <c r="H12" s="4" t="n"/>
      <c r="I12" s="4" t="n"/>
    </row>
    <row r="13">
      <c r="A13" s="4" t="n">
        <v>2</v>
      </c>
      <c r="B13" s="4" t="inlineStr">
        <is>
          <t>Debt relief</t>
        </is>
      </c>
      <c r="C13" s="4" t="inlineStr">
        <is>
          <t>IRC section 752</t>
        </is>
      </c>
      <c r="D13" s="4">
        <f>Assumed_Liabilities</f>
        <v/>
      </c>
      <c r="E13" s="4" t="inlineStr"/>
      <c r="F13" s="4">
        <f>D13+E13</f>
        <v/>
      </c>
      <c r="G13" s="4" t="n"/>
      <c r="H13" s="4" t="n"/>
      <c r="I13" s="4" t="n"/>
    </row>
    <row r="14">
      <c r="A14" s="4" t="n">
        <v>3</v>
      </c>
      <c r="B14" s="4" t="inlineStr">
        <is>
          <t>Total amount realized</t>
        </is>
      </c>
      <c r="C14" s="4" t="inlineStr">
        <is>
          <t>IRC sections 741 and 752</t>
        </is>
      </c>
      <c r="D14" s="4">
        <f>D12+D13</f>
        <v/>
      </c>
      <c r="E14" s="4" t="inlineStr"/>
      <c r="F14" s="4">
        <f>D14+E14</f>
        <v/>
      </c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18" customHeight="1">
      <c r="A18" s="9" t="inlineStr">
        <is>
          <t>Outside Basis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32" customHeight="1">
      <c r="A19" s="9" t="inlineStr">
        <is>
          <t>Line</t>
        </is>
      </c>
      <c r="B19" s="9" t="inlineStr">
        <is>
          <t>Item</t>
        </is>
      </c>
      <c r="C19" s="9" t="inlineStr">
        <is>
          <t>Tax Rule</t>
        </is>
      </c>
      <c r="D19" s="9" t="inlineStr">
        <is>
          <t>Book / Deal Amount</t>
        </is>
      </c>
      <c r="E19" s="9" t="inlineStr">
        <is>
          <t>Tax Adjustment</t>
        </is>
      </c>
      <c r="F19" s="9" t="inlineStr">
        <is>
          <t>Tax Amount</t>
        </is>
      </c>
      <c r="G19" s="9" t="inlineStr">
        <is>
          <t>Character %</t>
        </is>
      </c>
      <c r="H19" s="9" t="inlineStr">
        <is>
          <t>Result</t>
        </is>
      </c>
      <c r="I19" s="9" t="inlineStr">
        <is>
          <t>Status / Conclusion</t>
        </is>
      </c>
    </row>
    <row r="20">
      <c r="A20" s="4" t="n"/>
      <c r="B20" s="4" t="inlineStr">
        <is>
          <t>Outside equity basis</t>
        </is>
      </c>
      <c r="C20" s="4" t="inlineStr">
        <is>
          <t>Partner tax basis</t>
        </is>
      </c>
      <c r="D20" s="8" t="n">
        <v>17884360</v>
      </c>
      <c r="E20" s="4" t="n"/>
      <c r="F20" s="4" t="n"/>
      <c r="G20" s="4" t="n"/>
      <c r="H20" s="8">
        <f>D20</f>
        <v/>
      </c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18" customHeight="1">
      <c r="A27" s="9" t="inlineStr">
        <is>
          <t>Section 751 Hot-Asset Analysis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32" customHeight="1">
      <c r="A28" s="9" t="inlineStr">
        <is>
          <t>Line</t>
        </is>
      </c>
      <c r="B28" s="9" t="inlineStr">
        <is>
          <t>Item</t>
        </is>
      </c>
      <c r="C28" s="9" t="inlineStr">
        <is>
          <t>Tax Rule</t>
        </is>
      </c>
      <c r="D28" s="9" t="inlineStr">
        <is>
          <t>Book / Deal Amount</t>
        </is>
      </c>
      <c r="E28" s="9" t="inlineStr">
        <is>
          <t>Tax Adjustment</t>
        </is>
      </c>
      <c r="F28" s="9" t="inlineStr">
        <is>
          <t>Tax Amount</t>
        </is>
      </c>
      <c r="G28" s="9" t="inlineStr">
        <is>
          <t>Character %</t>
        </is>
      </c>
      <c r="H28" s="9" t="inlineStr">
        <is>
          <t>Result</t>
        </is>
      </c>
      <c r="I28" s="9" t="inlineStr">
        <is>
          <t>Status / Conclusion</t>
        </is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inlineStr">
        <is>
          <t>Section 751 ordinary income</t>
        </is>
      </c>
      <c r="C31" s="4" t="inlineStr">
        <is>
          <t>IRC section 751</t>
        </is>
      </c>
      <c r="D31" s="4" t="n"/>
      <c r="E31" s="4" t="n"/>
      <c r="F31" s="4" t="n"/>
      <c r="G31" s="4">
        <f>IF($H$36=0,0,H31/$H$36)</f>
        <v/>
      </c>
      <c r="H31" s="33">
        <f>Assumptions!$D$26+383050.20</f>
        <v/>
      </c>
      <c r="I31" s="4" t="inlineStr">
        <is>
          <t>Review — hot-asset support</t>
        </is>
      </c>
    </row>
    <row r="32">
      <c r="A32" s="4" t="n"/>
      <c r="B32" s="4" t="inlineStr">
        <is>
          <t>Section 741 capital gain</t>
        </is>
      </c>
      <c r="C32" s="4" t="inlineStr">
        <is>
          <t>IRC section 741</t>
        </is>
      </c>
      <c r="D32" s="4" t="n"/>
      <c r="E32" s="4" t="n"/>
      <c r="F32" s="4" t="n"/>
      <c r="G32" s="4">
        <f>IF($H$36=0,0,H32/$H$36)</f>
        <v/>
      </c>
      <c r="H32" s="28">
        <f>H36-H31</f>
        <v/>
      </c>
      <c r="I32" s="4" t="inlineStr">
        <is>
          <t>Pass — residual capital gain</t>
        </is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inlineStr">
        <is>
          <t>Total partnership-interest gain</t>
        </is>
      </c>
      <c r="C36" s="4" t="n"/>
      <c r="D36" s="4" t="n"/>
      <c r="E36" s="4" t="n"/>
      <c r="F36" s="4" t="n"/>
      <c r="G36" s="4" t="n"/>
      <c r="H36" s="29">
        <f>ROUND(D14-D20,2)</f>
        <v/>
      </c>
      <c r="I36" s="4" t="inlineStr">
        <is>
          <t>Anchor: $10,850,640.00</t>
        </is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18" customHeight="1">
      <c r="A41" s="9" t="inlineStr">
        <is>
          <t>Withholding and Controlling-Interest Review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 ht="32" customHeight="1">
      <c r="A42" s="9" t="inlineStr">
        <is>
          <t>Line</t>
        </is>
      </c>
      <c r="B42" s="9" t="inlineStr">
        <is>
          <t>Item</t>
        </is>
      </c>
      <c r="C42" s="9" t="inlineStr">
        <is>
          <t>Tax Rule</t>
        </is>
      </c>
      <c r="D42" s="9" t="inlineStr">
        <is>
          <t>Book / Deal Amount</t>
        </is>
      </c>
      <c r="E42" s="9" t="inlineStr">
        <is>
          <t>Tax Adjustment</t>
        </is>
      </c>
      <c r="F42" s="9" t="inlineStr">
        <is>
          <t>Tax Amount</t>
        </is>
      </c>
      <c r="G42" s="9" t="inlineStr">
        <is>
          <t>Character %</t>
        </is>
      </c>
      <c r="H42" s="9" t="inlineStr">
        <is>
          <t>Result</t>
        </is>
      </c>
      <c r="I42" s="9" t="inlineStr">
        <is>
          <t>Status / Conclusion</t>
        </is>
      </c>
    </row>
    <row r="43">
      <c r="A43" s="4" t="n">
        <v>1</v>
      </c>
      <c r="B43" s="4" t="inlineStr">
        <is>
          <t>Foreign seller status</t>
        </is>
      </c>
      <c r="C43" s="4" t="inlineStr">
        <is>
          <t>IRC section 1446(f)</t>
        </is>
      </c>
      <c r="D43" s="4" t="inlineStr">
        <is>
          <t>Domestic</t>
        </is>
      </c>
      <c r="E43" s="4" t="n"/>
      <c r="F43" s="4" t="n"/>
      <c r="G43" s="4" t="n"/>
      <c r="H43" s="4" t="n"/>
      <c r="I43" s="4" t="inlineStr">
        <is>
          <t>Review — confirm seller status</t>
        </is>
      </c>
    </row>
    <row r="44">
      <c r="A44" s="4" t="n">
        <v>2</v>
      </c>
      <c r="B44" s="4" t="inlineStr">
        <is>
          <t>FIRPTA withholding</t>
        </is>
      </c>
      <c r="C44" s="4" t="inlineStr">
        <is>
          <t>IRC section 1445</t>
        </is>
      </c>
      <c r="D44" s="4" t="inlineStr">
        <is>
          <t>Not assumed</t>
        </is>
      </c>
      <c r="E44" s="4" t="n"/>
      <c r="F44" s="4" t="n"/>
      <c r="G44" s="4" t="n"/>
      <c r="H44" s="4" t="n"/>
      <c r="I44" s="4" t="inlineStr">
        <is>
          <t>Review — counsel confirmation</t>
        </is>
      </c>
    </row>
    <row r="45">
      <c r="A45" s="4" t="n">
        <v>3</v>
      </c>
      <c r="B45" s="4" t="inlineStr">
        <is>
          <t>Controlling-interest transfer</t>
        </is>
      </c>
      <c r="C45" s="4" t="inlineStr">
        <is>
          <t>California / LA declaration</t>
        </is>
      </c>
      <c r="D45" s="4" t="inlineStr">
        <is>
          <t>Yes</t>
        </is>
      </c>
      <c r="E45" s="4" t="n"/>
      <c r="F45" s="4" t="n"/>
      <c r="G45" s="4" t="n"/>
      <c r="H45" s="4" t="n"/>
      <c r="I45" s="4" t="inlineStr">
        <is>
          <t>Review — more-than-50% control</t>
        </is>
      </c>
    </row>
    <row r="46">
      <c r="A46" s="4" t="n">
        <v>4</v>
      </c>
      <c r="B46" s="4" t="inlineStr">
        <is>
          <t>Documentary transfer tax</t>
        </is>
      </c>
      <c r="C46" s="4" t="inlineStr">
        <is>
          <t>LA County declaration</t>
        </is>
      </c>
      <c r="D46" s="4">
        <f>LA_DTT_Exposure</f>
        <v/>
      </c>
      <c r="E46" s="4" t="n"/>
      <c r="F46" s="4" t="n"/>
      <c r="G46" s="4" t="n"/>
      <c r="H46" s="4" t="n"/>
      <c r="I46" s="4" t="inlineStr">
        <is>
          <t>Review — assess county and city tax</t>
        </is>
      </c>
    </row>
    <row r="47">
      <c r="A47" s="4" t="n">
        <v>5</v>
      </c>
      <c r="B47" s="4" t="inlineStr">
        <is>
          <t>Inside vs outside basis</t>
        </is>
      </c>
      <c r="C47" s="4" t="inlineStr">
        <is>
          <t>IRC sections 741 and 751</t>
        </is>
      </c>
      <c r="D47" s="4" t="inlineStr">
        <is>
          <t>Review</t>
        </is>
      </c>
      <c r="E47" s="4" t="n"/>
      <c r="F47" s="4" t="n"/>
      <c r="G47" s="4" t="n"/>
      <c r="H47" s="4" t="n"/>
      <c r="I47" s="4" t="inlineStr">
        <is>
          <t>Review — reconcile schedules</t>
        </is>
      </c>
    </row>
    <row r="48">
      <c r="A48" s="4" t="n">
        <v>6</v>
      </c>
      <c r="B48" s="4" t="inlineStr">
        <is>
          <t>Partnership tax filing</t>
        </is>
      </c>
      <c r="C48" s="4" t="inlineStr">
        <is>
          <t>IRC section 701</t>
        </is>
      </c>
      <c r="D48" s="4" t="inlineStr">
        <is>
          <t>Pass-through</t>
        </is>
      </c>
      <c r="E48" s="4" t="n"/>
      <c r="F48" s="4" t="n"/>
      <c r="G48" s="4" t="n"/>
      <c r="H48" s="4" t="n"/>
      <c r="I48" s="4" t="inlineStr">
        <is>
          <t>Pass — partnership does not pay federal income tax</t>
        </is>
      </c>
    </row>
    <row r="49">
      <c r="A49" s="4" t="n">
        <v>7</v>
      </c>
      <c r="B49" s="4" t="inlineStr">
        <is>
          <t>Buyer withholding certificate</t>
        </is>
      </c>
      <c r="C49" s="4" t="inlineStr">
        <is>
          <t>IRC section 1446(f)</t>
        </is>
      </c>
      <c r="D49" s="4" t="inlineStr">
        <is>
          <t>Pending</t>
        </is>
      </c>
      <c r="E49" s="4" t="n"/>
      <c r="F49" s="4" t="n"/>
      <c r="G49" s="4" t="n"/>
      <c r="H49" s="4" t="n"/>
      <c r="I49" s="4" t="inlineStr">
        <is>
          <t>Review — obtain before closing</t>
        </is>
      </c>
    </row>
    <row r="50">
      <c r="A50" s="4" t="n">
        <v>8</v>
      </c>
      <c r="B50" s="4" t="inlineStr">
        <is>
          <t>Legal entity name</t>
        </is>
      </c>
      <c r="C50" s="4" t="inlineStr">
        <is>
          <t>Legal entity register</t>
        </is>
      </c>
      <c r="D50" s="4" t="inlineStr">
        <is>
          <t>ADC Fairfax Retail Partners LP</t>
        </is>
      </c>
      <c r="E50" s="4" t="n"/>
      <c r="F50" s="4" t="n"/>
      <c r="G50" s="4" t="n"/>
      <c r="H50" s="4" t="n"/>
      <c r="I50" s="4" t="inlineStr">
        <is>
          <t>Pass</t>
        </is>
      </c>
    </row>
  </sheetData>
  <autoFilter ref="A28:I50"/>
  <mergeCells count="6">
    <mergeCell ref="A41:I41"/>
    <mergeCell ref="A2:I2"/>
    <mergeCell ref="A10:I10"/>
    <mergeCell ref="A1:I1"/>
    <mergeCell ref="A18:I18"/>
    <mergeCell ref="A27:I27"/>
  </mergeCells>
  <conditionalFormatting sqref="I42:I50">
    <cfRule type="expression" priority="1" dxfId="1">
      <formula>ISNUMBER(SEARCH("Review",$I43))</formula>
    </cfRule>
  </conditionalFormatting>
  <dataValidations count="1">
    <dataValidation sqref="I42:I50" showDropDown="0" showInputMessage="0" showErrorMessage="0" allowBlank="1" type="list">
      <formula1>"Pass,Review,Not Applicable"</formula1>
    </dataValidation>
  </dataValidations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showGridLines="0" zoomScale="85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8" customWidth="1" min="4" max="4"/>
    <col width="19" customWidth="1" min="5" max="5"/>
    <col width="16" customWidth="1" min="6" max="6"/>
    <col width="16" customWidth="1" min="7" max="7"/>
    <col width="34" customWidth="1" min="8" max="8"/>
    <col width="26" customWidth="1" min="9" max="9"/>
  </cols>
  <sheetData>
    <row r="1" ht="24" customHeight="1">
      <c r="A1" s="1" t="inlineStr">
        <is>
          <t>ADC Fairfax &amp; 3rd Disposal Tax Model — Los Angeles Documentary Transfer Tax</t>
        </is>
      </c>
    </row>
    <row r="2" ht="28" customHeight="1">
      <c r="A2" s="2" t="inlineStr">
        <is>
          <t>Countywide and City of Los Angeles documentary transfer tax on direct deed and greater-than-50% controlling-interest scenarios.</t>
        </is>
      </c>
    </row>
    <row r="3"/>
    <row r="4"/>
    <row r="5"/>
    <row r="6"/>
    <row r="7"/>
    <row r="8"/>
    <row r="9"/>
    <row r="10" ht="18" customHeight="1">
      <c r="A10" s="11" t="inlineStr">
        <is>
          <t>Direct Transfer Calculation</t>
        </is>
      </c>
    </row>
    <row r="11" ht="32" customHeight="1">
      <c r="A11" s="3" t="inlineStr">
        <is>
          <t>Scenario</t>
        </is>
      </c>
      <c r="B11" s="3" t="inlineStr">
        <is>
          <t>Jurisdiction</t>
        </is>
      </c>
      <c r="C11" s="3" t="inlineStr">
        <is>
          <t>Gross Consideration / FMV</t>
        </is>
      </c>
      <c r="D11" s="3" t="inlineStr">
        <is>
          <t>Liens Remaining</t>
        </is>
      </c>
      <c r="E11" s="3" t="inlineStr">
        <is>
          <t>Taxable Consideration</t>
        </is>
      </c>
      <c r="F11" s="3" t="inlineStr">
        <is>
          <t>Transfer Tax</t>
        </is>
      </c>
      <c r="G11" s="3" t="inlineStr">
        <is>
          <t>Rate per $1,000</t>
        </is>
      </c>
      <c r="H11" s="3" t="inlineStr">
        <is>
          <t>Authority / Form Field</t>
        </is>
      </c>
      <c r="I11" s="3" t="inlineStr">
        <is>
          <t>Exemption Reason</t>
        </is>
      </c>
    </row>
    <row r="12">
      <c r="A12" s="4" t="inlineStr">
        <is>
          <t>Direct Deed Transfer</t>
        </is>
      </c>
      <c r="B12" s="4" t="inlineStr">
        <is>
          <t>Los Angeles County</t>
        </is>
      </c>
      <c r="C12" s="4">
        <f>Gross_Sale_Price</f>
        <v/>
      </c>
      <c r="D12" s="4">
        <f>Debt_Remaining</f>
        <v/>
      </c>
      <c r="E12" s="4">
        <f>MAX(0,C12-D12)</f>
        <v/>
      </c>
      <c r="F12" s="4">
        <f>ROUND(E12/1000*G12,2)</f>
        <v/>
      </c>
      <c r="G12" s="4" t="n">
        <v>1.1</v>
      </c>
      <c r="H12" s="4" t="inlineStr">
        <is>
          <t>Los Angeles County declaration</t>
        </is>
      </c>
      <c r="I12" s="4" t="inlineStr"/>
    </row>
    <row r="13">
      <c r="A13" s="4" t="inlineStr">
        <is>
          <t>Direct Deed Transfer</t>
        </is>
      </c>
      <c r="B13" s="4" t="inlineStr">
        <is>
          <t>City of Los Angeles</t>
        </is>
      </c>
      <c r="C13" s="4">
        <f>Gross_Sale_Price</f>
        <v/>
      </c>
      <c r="D13" s="4">
        <f>Debt_Remaining</f>
        <v/>
      </c>
      <c r="E13" s="4">
        <f>MAX(0,C13-D13)</f>
        <v/>
      </c>
      <c r="F13" s="4">
        <f>ROUND(E13/1000*G13,2)</f>
        <v/>
      </c>
      <c r="G13" s="4" t="n">
        <v>4.5</v>
      </c>
      <c r="H13" s="4" t="inlineStr">
        <is>
          <t>Los Angeles County declaration</t>
        </is>
      </c>
      <c r="I13" s="4" t="inlineStr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18" customHeight="1">
      <c r="A21" s="9" t="inlineStr">
        <is>
          <t>Controlling-Interest Calculation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32" customHeight="1">
      <c r="A22" s="9" t="inlineStr">
        <is>
          <t>Scenario</t>
        </is>
      </c>
      <c r="B22" s="9" t="inlineStr">
        <is>
          <t>Jurisdiction</t>
        </is>
      </c>
      <c r="C22" s="9" t="inlineStr">
        <is>
          <t>Gross Consideration / FMV</t>
        </is>
      </c>
      <c r="D22" s="9" t="inlineStr">
        <is>
          <t>Liens Remaining</t>
        </is>
      </c>
      <c r="E22" s="9" t="inlineStr">
        <is>
          <t>Taxable Consideration</t>
        </is>
      </c>
      <c r="F22" s="9" t="inlineStr">
        <is>
          <t>Transfer Tax</t>
        </is>
      </c>
      <c r="G22" s="9" t="inlineStr">
        <is>
          <t>Rate per $1,000</t>
        </is>
      </c>
      <c r="H22" s="9" t="inlineStr">
        <is>
          <t>Authority / Form Field</t>
        </is>
      </c>
      <c r="I22" s="9" t="inlineStr">
        <is>
          <t>Exemption Reason</t>
        </is>
      </c>
    </row>
    <row r="23">
      <c r="A23" s="4" t="inlineStr">
        <is>
          <t>Greater-than-50% Controlling-Interest Change</t>
        </is>
      </c>
      <c r="B23" s="4" t="inlineStr">
        <is>
          <t>Los Angeles County</t>
        </is>
      </c>
      <c r="C23" s="4">
        <f>Gross_Sale_Price</f>
        <v/>
      </c>
      <c r="D23" s="4">
        <f>Debt_Remaining</f>
        <v/>
      </c>
      <c r="E23" s="4">
        <f>MAX(0,C23-D23)</f>
        <v/>
      </c>
      <c r="F23" s="4">
        <f>ROUND(E23/1000*G23,2)</f>
        <v/>
      </c>
      <c r="G23" s="4" t="n">
        <v>1.1</v>
      </c>
      <c r="H23" s="4" t="inlineStr">
        <is>
          <t>Controlling-interest question on declaration</t>
        </is>
      </c>
      <c r="I23" s="4" t="inlineStr"/>
    </row>
    <row r="24">
      <c r="A24" s="4" t="inlineStr">
        <is>
          <t>Greater-than-50% Controlling-Interest Change</t>
        </is>
      </c>
      <c r="B24" s="4" t="inlineStr">
        <is>
          <t>City of Los Angeles</t>
        </is>
      </c>
      <c r="C24" s="4">
        <f>Gross_Sale_Price</f>
        <v/>
      </c>
      <c r="D24" s="4">
        <f>Debt_Remaining</f>
        <v/>
      </c>
      <c r="E24" s="4">
        <f>MAX(0,C24-D24)</f>
        <v/>
      </c>
      <c r="F24" s="4">
        <f>ROUND(E24/1000*G24,2)</f>
        <v/>
      </c>
      <c r="G24" s="4" t="n">
        <v>4.5</v>
      </c>
      <c r="H24" s="4" t="inlineStr">
        <is>
          <t>Controlling-interest question on declaration</t>
        </is>
      </c>
      <c r="I24" s="4" t="inlineStr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inlineStr">
        <is>
          <t>Direct deed combined exposure</t>
        </is>
      </c>
      <c r="B27" s="4" t="n"/>
      <c r="C27" s="4" t="n"/>
      <c r="D27" s="4" t="n"/>
      <c r="E27" s="4" t="n"/>
      <c r="F27" s="29">
        <f>SUM(F12:F13)</f>
        <v/>
      </c>
      <c r="G27" s="4" t="n"/>
      <c r="H27" s="4" t="n"/>
      <c r="I27" s="4" t="n"/>
    </row>
    <row r="28">
      <c r="A28" s="4" t="inlineStr">
        <is>
          <t>Controlling-interest combined exposure</t>
        </is>
      </c>
      <c r="B28" s="4" t="n"/>
      <c r="C28" s="4" t="n"/>
      <c r="D28" s="4" t="n"/>
      <c r="E28" s="4" t="n"/>
      <c r="F28" s="29">
        <f>SUM(F23:F24)</f>
        <v/>
      </c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 ht="18" customHeight="1">
      <c r="A32" s="9" t="inlineStr">
        <is>
          <t>Rate Reference Table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32" customHeight="1">
      <c r="A33" s="9" t="inlineStr">
        <is>
          <t>Jurisdiction</t>
        </is>
      </c>
      <c r="B33" s="9" t="inlineStr">
        <is>
          <t>County / City</t>
        </is>
      </c>
      <c r="C33" s="9" t="inlineStr">
        <is>
          <t>Rate per $1,000</t>
        </is>
      </c>
      <c r="D33" s="9" t="inlineStr">
        <is>
          <t>Source</t>
        </is>
      </c>
      <c r="E33" s="9" t="inlineStr">
        <is>
          <t>Use in Base Case</t>
        </is>
      </c>
      <c r="F33" s="9" t="inlineStr"/>
      <c r="G33" s="9" t="inlineStr"/>
      <c r="H33" s="9" t="inlineStr"/>
      <c r="I33" s="9" t="inlineStr"/>
    </row>
    <row r="34">
      <c r="A34" s="4" t="inlineStr">
        <is>
          <t>Los Angeles County</t>
        </is>
      </c>
      <c r="B34" s="4" t="inlineStr">
        <is>
          <t>Countywide</t>
        </is>
      </c>
      <c r="C34" s="4" t="n">
        <v>1.1</v>
      </c>
      <c r="D34" s="4" t="inlineStr">
        <is>
          <t>Los Angeles County declaration</t>
        </is>
      </c>
      <c r="E34" s="4" t="inlineStr">
        <is>
          <t>Yes</t>
        </is>
      </c>
      <c r="F34" s="4" t="n"/>
      <c r="G34" s="4" t="n"/>
      <c r="H34" s="4" t="n"/>
      <c r="I34" s="4" t="n"/>
    </row>
    <row r="35">
      <c r="A35" s="4" t="inlineStr">
        <is>
          <t>Los Angeles</t>
        </is>
      </c>
      <c r="B35" s="4" t="inlineStr">
        <is>
          <t>City</t>
        </is>
      </c>
      <c r="C35" s="4" t="n">
        <v>4.5</v>
      </c>
      <c r="D35" s="4" t="inlineStr">
        <is>
          <t>Los Angeles County declaration</t>
        </is>
      </c>
      <c r="E35" s="4" t="inlineStr">
        <is>
          <t>Yes</t>
        </is>
      </c>
      <c r="F35" s="4" t="n"/>
      <c r="G35" s="4" t="n"/>
      <c r="H35" s="4" t="n"/>
      <c r="I35" s="4" t="n"/>
    </row>
    <row r="36">
      <c r="A36" s="4" t="inlineStr">
        <is>
          <t>Culver City</t>
        </is>
      </c>
      <c r="B36" s="4" t="inlineStr">
        <is>
          <t>City</t>
        </is>
      </c>
      <c r="C36" s="4" t="n">
        <v>4.5</v>
      </c>
      <c r="D36" s="4" t="inlineStr">
        <is>
          <t>Los Angeles County declaration</t>
        </is>
      </c>
      <c r="E36" s="4" t="inlineStr">
        <is>
          <t>No</t>
        </is>
      </c>
      <c r="F36" s="4" t="n"/>
      <c r="G36" s="4" t="n"/>
      <c r="H36" s="4" t="n"/>
      <c r="I36" s="4" t="n"/>
    </row>
    <row r="37">
      <c r="A37" s="4" t="inlineStr">
        <is>
          <t>Pomona / Redondo Beach</t>
        </is>
      </c>
      <c r="B37" s="4" t="inlineStr">
        <is>
          <t>City</t>
        </is>
      </c>
      <c r="C37" s="4" t="n">
        <v>2.2</v>
      </c>
      <c r="D37" s="4" t="inlineStr">
        <is>
          <t>Los Angeles County declaration</t>
        </is>
      </c>
      <c r="E37" s="4" t="inlineStr">
        <is>
          <t>No</t>
        </is>
      </c>
      <c r="F37" s="4" t="n"/>
      <c r="G37" s="4" t="n"/>
      <c r="H37" s="4" t="n"/>
      <c r="I37" s="4" t="n"/>
    </row>
    <row r="38">
      <c r="A38" s="4" t="inlineStr">
        <is>
          <t>Santa Monica</t>
        </is>
      </c>
      <c r="B38" s="4" t="inlineStr">
        <is>
          <t>City</t>
        </is>
      </c>
      <c r="C38" s="4" t="n">
        <v>3</v>
      </c>
      <c r="D38" s="4" t="inlineStr">
        <is>
          <t>Los Angeles County declaration</t>
        </is>
      </c>
      <c r="E38" s="4" t="inlineStr">
        <is>
          <t>No</t>
        </is>
      </c>
      <c r="F38" s="4" t="n"/>
      <c r="G38" s="4" t="n"/>
      <c r="H38" s="4" t="n"/>
      <c r="I38" s="4" t="n"/>
    </row>
  </sheetData>
  <autoFilter ref="A11:I24"/>
  <mergeCells count="5">
    <mergeCell ref="A2:I2"/>
    <mergeCell ref="A10:I10"/>
    <mergeCell ref="A32:I32"/>
    <mergeCell ref="A1:I1"/>
    <mergeCell ref="A21:I21"/>
  </mergeCells>
  <conditionalFormatting sqref="F27:F28">
    <cfRule type="cellIs" priority="1" operator="greaterThan" dxfId="0">
      <formula>0</formula>
    </cfRule>
  </conditionalFormatting>
  <conditionalFormatting sqref="I12:I28">
    <cfRule type="expression" priority="2" dxfId="1">
      <formula>$I12&lt;&gt;""</formula>
    </cfRule>
  </conditionalFormatting>
  <conditionalFormatting sqref="E12:E28">
    <cfRule type="dataBar" priority="3">
      <dataBar>
        <cfvo type="min"/>
        <cfvo type="max"/>
        <color rgb="006FA8DC"/>
      </dataBar>
    </cfRule>
  </conditionalFormatting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44" customWidth="1" min="3" max="3"/>
    <col width="17" customWidth="1" min="4" max="4"/>
    <col width="17" customWidth="1" min="5" max="5"/>
    <col width="17" customWidth="1" min="6" max="6"/>
    <col width="14" customWidth="1" min="7" max="7"/>
    <col width="20" customWidth="1" min="8" max="8"/>
    <col width="15" customWidth="1" min="9" max="9"/>
    <col width="48" customWidth="1" min="10" max="10"/>
  </cols>
  <sheetData>
    <row r="1" ht="24" customHeight="1">
      <c r="A1" s="1" t="inlineStr">
        <is>
          <t>ADC Fairfax &amp; 3rd Disposal Tax Model — Sources &amp; Controls</t>
        </is>
      </c>
    </row>
    <row r="2" ht="28" customHeight="1">
      <c r="A2" s="2" t="inlineStr">
        <is>
          <t>Source hierarchy, cross-file anchors, tie-out controls, public-company context, and reviewer sign-off.</t>
        </is>
      </c>
    </row>
    <row r="3"/>
    <row r="4"/>
    <row r="5"/>
    <row r="6"/>
    <row r="7"/>
    <row r="8" ht="18" customHeight="1">
      <c r="A8" s="11" t="inlineStr">
        <is>
          <t>External Source Register</t>
        </is>
      </c>
    </row>
    <row r="9" ht="32" customHeight="1">
      <c r="A9" s="3" t="inlineStr">
        <is>
          <t>Control ID</t>
        </is>
      </c>
      <c r="B9" s="3" t="inlineStr">
        <is>
          <t>Type</t>
        </is>
      </c>
      <c r="C9" s="3" t="inlineStr">
        <is>
          <t>Description</t>
        </is>
      </c>
      <c r="D9" s="3" t="inlineStr">
        <is>
          <t>Expected</t>
        </is>
      </c>
      <c r="E9" s="3" t="inlineStr">
        <is>
          <t>Actual</t>
        </is>
      </c>
      <c r="F9" s="3" t="inlineStr">
        <is>
          <t>Variance</t>
        </is>
      </c>
      <c r="G9" s="3" t="inlineStr">
        <is>
          <t>Status</t>
        </is>
      </c>
      <c r="H9" s="3" t="inlineStr">
        <is>
          <t>Owner</t>
        </is>
      </c>
      <c r="I9" s="3" t="inlineStr">
        <is>
          <t>Reviewed Date</t>
        </is>
      </c>
      <c r="J9" s="3" t="inlineStr">
        <is>
          <t>Source Link</t>
        </is>
      </c>
    </row>
    <row r="10">
      <c r="A10" s="4" t="inlineStr">
        <is>
          <t>SRC-01</t>
        </is>
      </c>
      <c r="B10" s="4" t="inlineStr">
        <is>
          <t>Source</t>
        </is>
      </c>
      <c r="C10" s="4" t="inlineStr">
        <is>
          <t>Agree Realty 2024 Annual Report</t>
        </is>
      </c>
      <c r="D10" s="4" t="inlineStr"/>
      <c r="E10" s="4" t="inlineStr"/>
      <c r="F10" s="4" t="inlineStr"/>
      <c r="G10" s="4" t="inlineStr">
        <is>
          <t>Review</t>
        </is>
      </c>
      <c r="H10" s="4" t="inlineStr">
        <is>
          <t>Elena Brooks</t>
        </is>
      </c>
      <c r="I10" s="12" t="n">
        <v>45922</v>
      </c>
      <c r="J10" s="34" t="inlineStr">
        <is>
          <t>sources/Agree_Realty_2024_Annual_Report.pdf</t>
        </is>
      </c>
    </row>
    <row r="11">
      <c r="A11" s="4" t="inlineStr">
        <is>
          <t>SRC-02</t>
        </is>
      </c>
      <c r="B11" s="4" t="inlineStr">
        <is>
          <t>Source</t>
        </is>
      </c>
      <c r="C11" s="4" t="inlineStr">
        <is>
          <t>Realty Income Q3 2024 disposition disclosure</t>
        </is>
      </c>
      <c r="D11" s="4" t="inlineStr"/>
      <c r="E11" s="4" t="inlineStr"/>
      <c r="F11" s="4" t="inlineStr"/>
      <c r="G11" s="4" t="inlineStr">
        <is>
          <t>Review</t>
        </is>
      </c>
      <c r="H11" s="4" t="inlineStr">
        <is>
          <t>Elena Brooks</t>
        </is>
      </c>
      <c r="I11" s="12" t="n">
        <v>45922</v>
      </c>
      <c r="J11" s="34" t="inlineStr">
        <is>
          <t>sources/Realty_Income_2024_Q3_Earnings_Dispositions.pdf</t>
        </is>
      </c>
    </row>
    <row r="12">
      <c r="A12" s="4" t="inlineStr">
        <is>
          <t>SRC-03</t>
        </is>
      </c>
      <c r="B12" s="4" t="inlineStr">
        <is>
          <t>Source</t>
        </is>
      </c>
      <c r="C12" s="4" t="inlineStr">
        <is>
          <t>Los Angeles documentary transfer tax declaration</t>
        </is>
      </c>
      <c r="D12" s="4" t="inlineStr"/>
      <c r="E12" s="4" t="inlineStr"/>
      <c r="F12" s="4" t="inlineStr"/>
      <c r="G12" s="4" t="inlineStr">
        <is>
          <t>Review</t>
        </is>
      </c>
      <c r="H12" s="4" t="inlineStr">
        <is>
          <t>Priya Raman</t>
        </is>
      </c>
      <c r="I12" s="12" t="n">
        <v>45922</v>
      </c>
      <c r="J12" s="34" t="inlineStr">
        <is>
          <t>sources/Los_Angeles_Declaration_Documentary_Transfer_Tax.pdf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18" customHeight="1">
      <c r="A18" s="9" t="inlineStr">
        <is>
          <t>Calculation Tie-out Controls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32" customHeight="1">
      <c r="A19" s="9" t="inlineStr">
        <is>
          <t>Control ID</t>
        </is>
      </c>
      <c r="B19" s="9" t="inlineStr">
        <is>
          <t>Type</t>
        </is>
      </c>
      <c r="C19" s="9" t="inlineStr">
        <is>
          <t>Description</t>
        </is>
      </c>
      <c r="D19" s="9" t="inlineStr">
        <is>
          <t>Expected</t>
        </is>
      </c>
      <c r="E19" s="9" t="inlineStr">
        <is>
          <t>Actual</t>
        </is>
      </c>
      <c r="F19" s="9" t="inlineStr">
        <is>
          <t>Variance</t>
        </is>
      </c>
      <c r="G19" s="9" t="inlineStr">
        <is>
          <t>Status</t>
        </is>
      </c>
      <c r="H19" s="9" t="inlineStr">
        <is>
          <t>Owner</t>
        </is>
      </c>
      <c r="I19" s="9" t="inlineStr">
        <is>
          <t>Reviewed Date</t>
        </is>
      </c>
      <c r="J19" s="9" t="inlineStr">
        <is>
          <t>Source Link</t>
        </is>
      </c>
    </row>
    <row r="20">
      <c r="A20" s="4" t="inlineStr">
        <is>
          <t>TIE-01</t>
        </is>
      </c>
      <c r="B20" s="4" t="inlineStr">
        <is>
          <t>Cross-file anchor</t>
        </is>
      </c>
      <c r="C20" s="4" t="inlineStr">
        <is>
          <t>Direct-sale total federal taxable gain</t>
        </is>
      </c>
      <c r="D20" s="8" t="n">
        <v>9820196.5</v>
      </c>
      <c r="E20" s="8">
        <f>Direct_Sale_Total_Gain</f>
        <v/>
      </c>
      <c r="F20" s="8">
        <f>IF(OR(D20="",E20=""),"",ROUND(E20-D20,2))</f>
        <v/>
      </c>
      <c r="G20" s="4">
        <f>IF(F20="","Review",IF(ABS(F20)&lt;0.01,"Pass","FAIL"))</f>
        <v/>
      </c>
      <c r="H20" s="4" t="inlineStr">
        <is>
          <t>Sarah Chen, CPA</t>
        </is>
      </c>
      <c r="I20" s="14" t="n">
        <v>45922</v>
      </c>
      <c r="J20" s="4" t="n"/>
    </row>
    <row r="21">
      <c r="A21" s="4" t="inlineStr">
        <is>
          <t>TIE-02</t>
        </is>
      </c>
      <c r="B21" s="4" t="inlineStr">
        <is>
          <t>Cross-file anchor</t>
        </is>
      </c>
      <c r="C21" s="4" t="inlineStr">
        <is>
          <t>Section 1245 ordinary recapture</t>
        </is>
      </c>
      <c r="D21" s="8" t="n">
        <v>1107955</v>
      </c>
      <c r="E21" s="8">
        <f>Section_1245_Recapture</f>
        <v/>
      </c>
      <c r="F21" s="8">
        <f>IF(OR(D21="",E21=""),"",ROUND(E21-D21,2))</f>
        <v/>
      </c>
      <c r="G21" s="4">
        <f>IF(F21="","Review",IF(ABS(F21)&lt;0.01,"Pass","FAIL"))</f>
        <v/>
      </c>
      <c r="H21" s="4" t="inlineStr">
        <is>
          <t>Sarah Chen, CPA</t>
        </is>
      </c>
      <c r="I21" s="14" t="n">
        <v>45922</v>
      </c>
      <c r="J21" s="4" t="n"/>
    </row>
    <row r="22">
      <c r="A22" s="4" t="inlineStr">
        <is>
          <t>TIE-03</t>
        </is>
      </c>
      <c r="B22" s="4" t="inlineStr">
        <is>
          <t>Cross-file anchor</t>
        </is>
      </c>
      <c r="C22" s="4" t="inlineStr">
        <is>
          <t>Section 291 ordinary income</t>
        </is>
      </c>
      <c r="D22" s="8" t="n">
        <v>865724.8</v>
      </c>
      <c r="E22" s="8">
        <f>Section_291_Income</f>
        <v/>
      </c>
      <c r="F22" s="8">
        <f>IF(OR(D22="",E22=""),"",ROUND(E22-D22,2))</f>
        <v/>
      </c>
      <c r="G22" s="4">
        <f>IF(F22="","Review",IF(ABS(F22)&lt;0.01,"Pass","FAIL"))</f>
        <v/>
      </c>
      <c r="H22" s="4" t="inlineStr">
        <is>
          <t>Sarah Chen, CPA</t>
        </is>
      </c>
      <c r="I22" s="14" t="n">
        <v>45922</v>
      </c>
      <c r="J22" s="4" t="n"/>
    </row>
    <row r="23">
      <c r="A23" s="4" t="inlineStr">
        <is>
          <t>TIE-04</t>
        </is>
      </c>
      <c r="B23" s="4" t="inlineStr">
        <is>
          <t>Cross-file anchor</t>
        </is>
      </c>
      <c r="C23" s="4" t="inlineStr">
        <is>
          <t>Unrecaptured section 1250 gain</t>
        </is>
      </c>
      <c r="D23" s="8" t="n">
        <v>3462899.2</v>
      </c>
      <c r="E23" s="8">
        <f>Unrecaptured_1250_Gain</f>
        <v/>
      </c>
      <c r="F23" s="8">
        <f>IF(OR(D23="",E23=""),"",ROUND(E23-D23,2))</f>
        <v/>
      </c>
      <c r="G23" s="4">
        <f>IF(F23="","Review",IF(ABS(F23)&lt;0.01,"Pass","FAIL"))</f>
        <v/>
      </c>
      <c r="H23" s="4" t="inlineStr">
        <is>
          <t>Sarah Chen, CPA</t>
        </is>
      </c>
      <c r="I23" s="14" t="n">
        <v>45922</v>
      </c>
      <c r="J23" s="4" t="n"/>
    </row>
    <row r="24">
      <c r="A24" s="4" t="inlineStr">
        <is>
          <t>TIE-05</t>
        </is>
      </c>
      <c r="B24" s="4" t="inlineStr">
        <is>
          <t>Cross-file anchor</t>
        </is>
      </c>
      <c r="C24" s="4" t="inlineStr">
        <is>
          <t>Residual section 1231 gain</t>
        </is>
      </c>
      <c r="D24" s="8" t="n">
        <v>4383617.5</v>
      </c>
      <c r="E24" s="8">
        <f>Residual_1231_Gain</f>
        <v/>
      </c>
      <c r="F24" s="8">
        <f>IF(OR(D24="",E24=""),"",ROUND(E24-D24,2))</f>
        <v/>
      </c>
      <c r="G24" s="4">
        <f>IF(F24="","Review",IF(ABS(F24)&lt;0.01,"Pass","FAIL"))</f>
        <v/>
      </c>
      <c r="H24" s="4" t="inlineStr">
        <is>
          <t>Sarah Chen, CPA</t>
        </is>
      </c>
      <c r="I24" s="14" t="n">
        <v>45922</v>
      </c>
      <c r="J24" s="4" t="n"/>
    </row>
    <row r="25">
      <c r="A25" s="4" t="inlineStr">
        <is>
          <t>TIE-06</t>
        </is>
      </c>
      <c r="B25" s="4" t="inlineStr">
        <is>
          <t>Cross-file anchor</t>
        </is>
      </c>
      <c r="C25" s="4" t="inlineStr">
        <is>
          <t>Installment 2025 recognized gain</t>
        </is>
      </c>
      <c r="D25" s="8" t="n">
        <v>3935308.98</v>
      </c>
      <c r="E25" s="6">
        <f>'Installment Sale'!$J$29</f>
        <v/>
      </c>
      <c r="F25" s="8">
        <f>IF(OR(D25="",E25=""),"",ROUND(E25-D25,2))</f>
        <v/>
      </c>
      <c r="G25" s="4">
        <f>IF(F25="","Review",IF(ABS(F25)&lt;0.01,"Pass","FAIL"))</f>
        <v/>
      </c>
      <c r="H25" s="4" t="inlineStr">
        <is>
          <t>Sarah Chen, CPA</t>
        </is>
      </c>
      <c r="I25" s="14" t="n">
        <v>45922</v>
      </c>
      <c r="J25" s="4" t="n"/>
    </row>
    <row r="26">
      <c r="A26" s="4" t="inlineStr">
        <is>
          <t>TIE-07</t>
        </is>
      </c>
      <c r="B26" s="4" t="inlineStr">
        <is>
          <t>Cross-file anchor</t>
        </is>
      </c>
      <c r="C26" s="4" t="inlineStr">
        <is>
          <t>Installment deferred eligible gain</t>
        </is>
      </c>
      <c r="D26" s="8" t="n">
        <v>5884887.52</v>
      </c>
      <c r="E26" s="6">
        <f>'Installment Sale'!$K$29</f>
        <v/>
      </c>
      <c r="F26" s="8">
        <f>IF(OR(D26="",E26=""),"",ROUND(E26-D26,2))</f>
        <v/>
      </c>
      <c r="G26" s="4">
        <f>IF(F26="","Review",IF(ABS(F26)&lt;0.01,"Pass","FAIL"))</f>
        <v/>
      </c>
      <c r="H26" s="4" t="inlineStr">
        <is>
          <t>Sarah Chen, CPA</t>
        </is>
      </c>
      <c r="I26" s="14" t="n">
        <v>45922</v>
      </c>
      <c r="J26" s="4" t="n"/>
    </row>
    <row r="27">
      <c r="A27" s="4" t="inlineStr">
        <is>
          <t>TIE-08</t>
        </is>
      </c>
      <c r="B27" s="4" t="inlineStr">
        <is>
          <t>Cross-file anchor</t>
        </is>
      </c>
      <c r="C27" s="4" t="inlineStr">
        <is>
          <t>Partnership total gain</t>
        </is>
      </c>
      <c r="D27" s="8" t="n">
        <v>10850640</v>
      </c>
      <c r="E27" s="8">
        <f>Partnership_Total_Gain</f>
        <v/>
      </c>
      <c r="F27" s="8">
        <f>IF(OR(D27="",E27=""),"",ROUND(E27-D27,2))</f>
        <v/>
      </c>
      <c r="G27" s="4">
        <f>IF(F27="","Review",IF(ABS(F27)&lt;0.01,"Pass","FAIL"))</f>
        <v/>
      </c>
      <c r="H27" s="4" t="inlineStr">
        <is>
          <t>Priya Raman</t>
        </is>
      </c>
      <c r="I27" s="14" t="n">
        <v>45922</v>
      </c>
      <c r="J27" s="4" t="n"/>
    </row>
    <row r="28">
      <c r="A28" s="4" t="inlineStr">
        <is>
          <t>TIE-09</t>
        </is>
      </c>
      <c r="B28" s="4" t="inlineStr">
        <is>
          <t>Cross-file anchor</t>
        </is>
      </c>
      <c r="C28" s="4" t="inlineStr">
        <is>
          <t>Section 751 ordinary income</t>
        </is>
      </c>
      <c r="D28" s="8" t="n">
        <v>1248775</v>
      </c>
      <c r="E28" s="6">
        <f>'Equity Transfer'!$H$31</f>
        <v/>
      </c>
      <c r="F28" s="8">
        <f>IF(OR(D28="",E28=""),"",ROUND(E28-D28,2))</f>
        <v/>
      </c>
      <c r="G28" s="4">
        <f>IF(F28="","Review",IF(ABS(F28)&lt;0.01,"Pass","FAIL"))</f>
        <v/>
      </c>
      <c r="H28" s="4" t="inlineStr">
        <is>
          <t>Priya Raman</t>
        </is>
      </c>
      <c r="I28" s="14" t="n">
        <v>45922</v>
      </c>
      <c r="J28" s="4" t="n"/>
    </row>
    <row r="29">
      <c r="A29" s="4" t="inlineStr">
        <is>
          <t>TIE-10</t>
        </is>
      </c>
      <c r="B29" s="4" t="inlineStr">
        <is>
          <t>Cross-file anchor</t>
        </is>
      </c>
      <c r="C29" s="4" t="inlineStr">
        <is>
          <t>Section 741 capital gain</t>
        </is>
      </c>
      <c r="D29" s="8" t="n">
        <v>9601865</v>
      </c>
      <c r="E29" s="6">
        <f>'Equity Transfer'!$H$32</f>
        <v/>
      </c>
      <c r="F29" s="8">
        <f>IF(OR(D29="",E29=""),"",ROUND(E29-D29,2))</f>
        <v/>
      </c>
      <c r="G29" s="4">
        <f>IF(F29="","Review",IF(ABS(F29)&lt;0.01,"Pass","FAIL"))</f>
        <v/>
      </c>
      <c r="H29" s="4" t="inlineStr">
        <is>
          <t>Priya Raman</t>
        </is>
      </c>
      <c r="I29" s="14" t="n">
        <v>45922</v>
      </c>
      <c r="J29" s="4" t="n"/>
    </row>
    <row r="30">
      <c r="A30" s="4" t="inlineStr">
        <is>
          <t>TIE-11</t>
        </is>
      </c>
      <c r="B30" s="4" t="inlineStr">
        <is>
          <t>Cross-file anchor</t>
        </is>
      </c>
      <c r="C30" s="4" t="inlineStr">
        <is>
          <t>Los Angeles DTT exposure</t>
        </is>
      </c>
      <c r="D30" s="8" t="n">
        <v>113736</v>
      </c>
      <c r="E30" s="8">
        <f>LA_DTT_Exposure</f>
        <v/>
      </c>
      <c r="F30" s="8">
        <f>IF(OR(D30="",E30=""),"",ROUND(E30-D30,2))</f>
        <v/>
      </c>
      <c r="G30" s="4">
        <f>IF(F30="","Review",IF(ABS(F30)&lt;0.01,"Pass","FAIL"))</f>
        <v/>
      </c>
      <c r="H30" s="4" t="inlineStr">
        <is>
          <t>Priya Raman</t>
        </is>
      </c>
      <c r="I30" s="14" t="n">
        <v>45922</v>
      </c>
      <c r="J30" s="4" t="n"/>
    </row>
    <row r="31">
      <c r="A31" s="4" t="inlineStr">
        <is>
          <t>TIE-12</t>
        </is>
      </c>
      <c r="B31" s="4" t="inlineStr">
        <is>
          <t>Formula control</t>
        </is>
      </c>
      <c r="C31" s="4" t="inlineStr">
        <is>
          <t>Direct-sale character control</t>
        </is>
      </c>
      <c r="D31" s="8" t="n">
        <v>0</v>
      </c>
      <c r="E31" s="6">
        <f>'Direct Sale'!$I$44</f>
        <v/>
      </c>
      <c r="F31" s="8">
        <f>IF(OR(D31="",E31=""),"",ROUND(E31-D31,2))</f>
        <v/>
      </c>
      <c r="G31" s="4">
        <f>IF(F31="","Review",IF(ABS(F31)&lt;0.01,"Pass","FAIL"))</f>
        <v/>
      </c>
      <c r="H31" s="4" t="inlineStr">
        <is>
          <t>Priya Raman</t>
        </is>
      </c>
      <c r="I31" s="14" t="n">
        <v>45922</v>
      </c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8" customHeight="1">
      <c r="A42" s="9" t="inlineStr">
        <is>
          <t>Public-Company Context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30" customHeight="1">
      <c r="A43" s="4" t="inlineStr">
        <is>
          <t>Agree Realty context</t>
        </is>
      </c>
      <c r="B43" s="4" t="inlineStr">
        <is>
          <t>Agree Realty Corporation (NYSE: ADC), based in Royal Oak, Michigan, had 2,370 properties across all 50 states, approximately 48.8 million square feet, and 99.6% occupancy at December 31, 2024.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30" customHeight="1">
      <c r="A44" s="4" t="inlineStr">
        <is>
          <t>Disposition context</t>
        </is>
      </c>
      <c r="B44" s="4" t="inlineStr">
        <is>
          <t>Agree Realty invested approximately $951 million in 282 retail net-lease properties during 2024 and sold 26 properties for approximately $98.4 million of gross proceeds.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30" customHeight="1">
      <c r="A45" s="4" t="inlineStr">
        <is>
          <t>Comparable benchmark</t>
        </is>
      </c>
      <c r="B45" s="4" t="inlineStr">
        <is>
          <t>Realty Income Corporation (NYSE: O) reported 15,457 properties, 98.7% occupancy, 92 properties sold in Q3 2024 for $249.5 million of net sales proceeds, and 214 properties sold in the first nine months for $451.4 million.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30" customHeight="1">
      <c r="A46" s="4" t="inlineStr">
        <is>
          <t>Use limitation</t>
        </is>
      </c>
      <c r="B46" s="4" t="inlineStr">
        <is>
          <t>Fairfax &amp; 3rd Retail Center and ADC Fairfax Retail Partners LP are modeled planning entities and are not represented as appearing in Agree Realty Corporation public filings.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8" customHeight="1">
      <c r="A54" s="9" t="inlineStr">
        <is>
          <t>Review Sign-off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32" customHeight="1">
      <c r="A55" s="9" t="inlineStr">
        <is>
          <t>Control ID</t>
        </is>
      </c>
      <c r="B55" s="9" t="inlineStr">
        <is>
          <t>Type</t>
        </is>
      </c>
      <c r="C55" s="9" t="inlineStr">
        <is>
          <t>Description</t>
        </is>
      </c>
      <c r="D55" s="9" t="inlineStr">
        <is>
          <t>Expected</t>
        </is>
      </c>
      <c r="E55" s="9" t="inlineStr">
        <is>
          <t>Actual</t>
        </is>
      </c>
      <c r="F55" s="9" t="inlineStr">
        <is>
          <t>Variance</t>
        </is>
      </c>
      <c r="G55" s="9" t="inlineStr">
        <is>
          <t>Status</t>
        </is>
      </c>
      <c r="H55" s="9" t="inlineStr">
        <is>
          <t>Owner</t>
        </is>
      </c>
      <c r="I55" s="9" t="inlineStr">
        <is>
          <t>Reviewed Date</t>
        </is>
      </c>
      <c r="J55" s="9" t="inlineStr">
        <is>
          <t>Source Link</t>
        </is>
      </c>
    </row>
    <row r="56">
      <c r="A56" s="4" t="inlineStr">
        <is>
          <t>SIGN-01</t>
        </is>
      </c>
      <c r="B56" s="4" t="inlineStr">
        <is>
          <t>Sign-off</t>
        </is>
      </c>
      <c r="C56" s="4" t="inlineStr">
        <is>
          <t>Tax planning specialist review</t>
        </is>
      </c>
      <c r="D56" s="4" t="inlineStr">
        <is>
          <t>Complete</t>
        </is>
      </c>
      <c r="E56" s="4" t="inlineStr"/>
      <c r="F56" s="4" t="inlineStr"/>
      <c r="G56" s="4" t="inlineStr">
        <is>
          <t>Review</t>
        </is>
      </c>
      <c r="H56" s="4" t="inlineStr">
        <is>
          <t>Sarah Chen, CPA</t>
        </is>
      </c>
      <c r="I56" s="14" t="n">
        <v>45922</v>
      </c>
      <c r="J56" s="4" t="inlineStr"/>
    </row>
    <row r="57">
      <c r="A57" s="4" t="inlineStr">
        <is>
          <t>SIGN-02</t>
        </is>
      </c>
      <c r="B57" s="4" t="inlineStr">
        <is>
          <t>Sign-off</t>
        </is>
      </c>
      <c r="C57" s="4" t="inlineStr">
        <is>
          <t>Treasury liquidity review</t>
        </is>
      </c>
      <c r="D57" s="4" t="inlineStr">
        <is>
          <t>Complete</t>
        </is>
      </c>
      <c r="E57" s="4" t="inlineStr"/>
      <c r="F57" s="4" t="inlineStr"/>
      <c r="G57" s="4" t="inlineStr">
        <is>
          <t>Review</t>
        </is>
      </c>
      <c r="H57" s="4" t="inlineStr">
        <is>
          <t>Michael Donovan</t>
        </is>
      </c>
      <c r="I57" s="14" t="n">
        <v>45923</v>
      </c>
      <c r="J57" s="4" t="inlineStr"/>
    </row>
    <row r="58">
      <c r="A58" s="4" t="inlineStr">
        <is>
          <t>SIGN-03</t>
        </is>
      </c>
      <c r="B58" s="4" t="inlineStr">
        <is>
          <t>Sign-off</t>
        </is>
      </c>
      <c r="C58" s="4" t="inlineStr">
        <is>
          <t>Legal and withholding review</t>
        </is>
      </c>
      <c r="D58" s="4" t="inlineStr">
        <is>
          <t>Pending</t>
        </is>
      </c>
      <c r="E58" s="4" t="inlineStr"/>
      <c r="F58" s="4" t="inlineStr"/>
      <c r="G58" s="4" t="inlineStr">
        <is>
          <t>Review</t>
        </is>
      </c>
      <c r="H58" s="4" t="inlineStr">
        <is>
          <t>Priya Raman</t>
        </is>
      </c>
      <c r="I58" s="14" t="n">
        <v>45924</v>
      </c>
      <c r="J58" s="4" t="inlineStr"/>
    </row>
  </sheetData>
  <autoFilter ref="A9:J31"/>
  <mergeCells count="10">
    <mergeCell ref="A1:J1"/>
    <mergeCell ref="A8:J8"/>
    <mergeCell ref="B45:J45"/>
    <mergeCell ref="B46:J46"/>
    <mergeCell ref="A18:J18"/>
    <mergeCell ref="A2:J2"/>
    <mergeCell ref="B43:J43"/>
    <mergeCell ref="A42:J42"/>
    <mergeCell ref="B44:J44"/>
    <mergeCell ref="A54:J54"/>
  </mergeCells>
  <conditionalFormatting sqref="G19:G40">
    <cfRule type="expression" priority="1" dxfId="7">
      <formula>$G20="Pass"</formula>
    </cfRule>
    <cfRule type="expression" priority="2" dxfId="1">
      <formula>$G20="Review"</formula>
    </cfRule>
    <cfRule type="expression" priority="3" dxfId="4">
      <formula>$G20="FAIL"</formula>
    </cfRule>
  </conditionalFormatting>
  <conditionalFormatting sqref="F19:F40">
    <cfRule type="cellIs" priority="4" operator="notEqual" dxfId="8">
      <formula>0</formula>
    </cfRule>
  </conditionalFormatting>
  <conditionalFormatting sqref="I55:I62">
    <cfRule type="cellIs" priority="5" operator="greaterThan" dxfId="5">
      <formula>DATE(2025,10,15)</formula>
    </cfRule>
  </conditionalFormatting>
  <dataValidations count="1">
    <dataValidation sqref="H20:H62" showDropDown="0" showInputMessage="0" showErrorMessage="0" allowBlank="1" type="list">
      <formula1>"Sarah Chen, CPA,Michael Donovan,Priya Raman,Elena Brooks"</formula1>
    </dataValidation>
  </dataValidations>
  <hyperlinks>
    <hyperlink xmlns:r="http://schemas.openxmlformats.org/officeDocument/2006/relationships" ref="J10" r:id="rId1"/>
    <hyperlink xmlns:r="http://schemas.openxmlformats.org/officeDocument/2006/relationships" ref="J11" r:id="rId2"/>
    <hyperlink xmlns:r="http://schemas.openxmlformats.org/officeDocument/2006/relationships" ref="J12" r:id="rId3"/>
  </hyperlinks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4" customHeight="1">
      <c r="A1" s="1" t="inlineStr">
        <is>
          <t>ADC Fairfax &amp; 3rd Disposal Tax Model — Calc Draft</t>
        </is>
      </c>
    </row>
    <row r="2" ht="28" customHeight="1">
      <c r="A2" s="2" t="inlineStr">
        <is>
          <t>Hidden working sheet — not for reporting. Retains superseded gross-profit rounding and transfer-tax sensitivity checks.</t>
        </is>
      </c>
    </row>
    <row r="3"/>
    <row r="4"/>
    <row r="5" ht="32" customHeight="1">
      <c r="A5" s="3" t="inlineStr">
        <is>
          <t>Draft ID</t>
        </is>
      </c>
      <c r="B5" s="3" t="inlineStr">
        <is>
          <t>Description</t>
        </is>
      </c>
      <c r="C5" s="3" t="inlineStr">
        <is>
          <t>Input 1</t>
        </is>
      </c>
      <c r="D5" s="3" t="inlineStr">
        <is>
          <t>Input 2</t>
        </is>
      </c>
      <c r="E5" s="3" t="inlineStr">
        <is>
          <t>Draft Result</t>
        </is>
      </c>
      <c r="F5" s="3" t="inlineStr">
        <is>
          <t>Final Reference</t>
        </is>
      </c>
      <c r="G5" s="3" t="inlineStr">
        <is>
          <t>Difference</t>
        </is>
      </c>
      <c r="H5" s="3" t="inlineStr">
        <is>
          <t>Disposition</t>
        </is>
      </c>
    </row>
    <row r="6"/>
    <row r="7"/>
    <row r="8">
      <c r="A8" s="4" t="inlineStr">
        <is>
          <t>DRAFT-01</t>
        </is>
      </c>
      <c r="B8" s="4" t="inlineStr">
        <is>
          <t>Superseded gross-profit rounding</t>
        </is>
      </c>
      <c r="C8" s="6">
        <f>Assumptions!$D$16</f>
        <v/>
      </c>
      <c r="D8" s="6">
        <f>Assumptions!$D$17</f>
        <v/>
      </c>
      <c r="E8" s="8">
        <f>ROUND(C8-D8,2)</f>
        <v/>
      </c>
      <c r="F8" s="8">
        <f>Direct_Sale_Total_Gain</f>
        <v/>
      </c>
      <c r="G8" s="8">
        <f>E8-F8</f>
        <v/>
      </c>
      <c r="H8" s="4" t="inlineStr">
        <is>
          <t>Superseded</t>
        </is>
      </c>
    </row>
    <row r="9">
      <c r="A9" s="4" t="inlineStr">
        <is>
          <t>DRAFT-02</t>
        </is>
      </c>
      <c r="B9" s="4" t="inlineStr">
        <is>
          <t>Transfer-tax sensitivity</t>
        </is>
      </c>
      <c r="C9" s="6">
        <f>Assumptions!$D$16</f>
        <v/>
      </c>
      <c r="D9" s="6">
        <f>Assumptions!$D$17</f>
        <v/>
      </c>
      <c r="E9" s="8">
        <f>ROUND(C9-D9,2)</f>
        <v/>
      </c>
      <c r="F9" s="8">
        <f>Direct_Sale_Total_Gain</f>
        <v/>
      </c>
      <c r="G9" s="8">
        <f>E9-F9</f>
        <v/>
      </c>
      <c r="H9" s="4" t="inlineStr">
        <is>
          <t>Superseded</t>
        </is>
      </c>
    </row>
    <row r="10">
      <c r="A10" s="4" t="inlineStr">
        <is>
          <t>DRAFT-03</t>
        </is>
      </c>
      <c r="B10" s="4" t="inlineStr">
        <is>
          <t>Basis allocation check</t>
        </is>
      </c>
      <c r="C10" s="6">
        <f>Assumptions!$D$16</f>
        <v/>
      </c>
      <c r="D10" s="6">
        <f>Assumptions!$D$17</f>
        <v/>
      </c>
      <c r="E10" s="8">
        <f>ROUND(C10-D10,2)</f>
        <v/>
      </c>
      <c r="F10" s="8">
        <f>Direct_Sale_Total_Gain</f>
        <v/>
      </c>
      <c r="G10" s="8">
        <f>E10-F10</f>
        <v/>
      </c>
      <c r="H10" s="4" t="inlineStr">
        <is>
          <t>Superseded</t>
        </is>
      </c>
    </row>
    <row r="11">
      <c r="A11" s="4" t="inlineStr">
        <is>
          <t>DRAFT-04</t>
        </is>
      </c>
      <c r="B11" s="4" t="inlineStr">
        <is>
          <t>Superseded gross-profit rounding</t>
        </is>
      </c>
      <c r="C11" s="6">
        <f>Assumptions!$D$16</f>
        <v/>
      </c>
      <c r="D11" s="6">
        <f>Assumptions!$D$17</f>
        <v/>
      </c>
      <c r="E11" s="8">
        <f>ROUND(C11-D11,2)</f>
        <v/>
      </c>
      <c r="F11" s="8">
        <f>Direct_Sale_Total_Gain</f>
        <v/>
      </c>
      <c r="G11" s="8">
        <f>E11-F11</f>
        <v/>
      </c>
      <c r="H11" s="4" t="inlineStr">
        <is>
          <t>Superseded</t>
        </is>
      </c>
    </row>
    <row r="12">
      <c r="A12" s="4" t="inlineStr">
        <is>
          <t>DRAFT-05</t>
        </is>
      </c>
      <c r="B12" s="4" t="inlineStr">
        <is>
          <t>Transfer-tax sensitivity</t>
        </is>
      </c>
      <c r="C12" s="6">
        <f>Assumptions!$D$16</f>
        <v/>
      </c>
      <c r="D12" s="6">
        <f>Assumptions!$D$17</f>
        <v/>
      </c>
      <c r="E12" s="8">
        <f>ROUND(C12-D12,2)</f>
        <v/>
      </c>
      <c r="F12" s="8">
        <f>Direct_Sale_Total_Gain</f>
        <v/>
      </c>
      <c r="G12" s="8">
        <f>E12-F12</f>
        <v/>
      </c>
      <c r="H12" s="4" t="inlineStr">
        <is>
          <t>Superseded</t>
        </is>
      </c>
    </row>
    <row r="13">
      <c r="A13" s="4" t="inlineStr">
        <is>
          <t>DRAFT-06</t>
        </is>
      </c>
      <c r="B13" s="4" t="inlineStr">
        <is>
          <t>Basis allocation check</t>
        </is>
      </c>
      <c r="C13" s="6">
        <f>Assumptions!$D$16</f>
        <v/>
      </c>
      <c r="D13" s="6">
        <f>Assumptions!$D$17</f>
        <v/>
      </c>
      <c r="E13" s="8">
        <f>ROUND(C13-D13,2)</f>
        <v/>
      </c>
      <c r="F13" s="8">
        <f>Direct_Sale_Total_Gain</f>
        <v/>
      </c>
      <c r="G13" s="8">
        <f>E13-F13</f>
        <v/>
      </c>
      <c r="H13" s="4" t="inlineStr">
        <is>
          <t>Superseded</t>
        </is>
      </c>
    </row>
    <row r="14">
      <c r="A14" s="4" t="inlineStr">
        <is>
          <t>DRAFT-07</t>
        </is>
      </c>
      <c r="B14" s="4" t="inlineStr">
        <is>
          <t>Superseded gross-profit rounding</t>
        </is>
      </c>
      <c r="C14" s="6">
        <f>Assumptions!$D$16</f>
        <v/>
      </c>
      <c r="D14" s="6">
        <f>Assumptions!$D$17</f>
        <v/>
      </c>
      <c r="E14" s="8">
        <f>ROUND(C14-D14,2)</f>
        <v/>
      </c>
      <c r="F14" s="8">
        <f>Direct_Sale_Total_Gain</f>
        <v/>
      </c>
      <c r="G14" s="8">
        <f>E14-F14</f>
        <v/>
      </c>
      <c r="H14" s="4" t="inlineStr">
        <is>
          <t>Superseded</t>
        </is>
      </c>
    </row>
    <row r="15">
      <c r="A15" s="4" t="inlineStr">
        <is>
          <t>DRAFT-08</t>
        </is>
      </c>
      <c r="B15" s="4" t="inlineStr">
        <is>
          <t>Transfer-tax sensitivity</t>
        </is>
      </c>
      <c r="C15" s="6">
        <f>Assumptions!$D$16</f>
        <v/>
      </c>
      <c r="D15" s="6">
        <f>Assumptions!$D$17</f>
        <v/>
      </c>
      <c r="E15" s="8">
        <f>ROUND(C15-D15,2)</f>
        <v/>
      </c>
      <c r="F15" s="8">
        <f>Direct_Sale_Total_Gain</f>
        <v/>
      </c>
      <c r="G15" s="8">
        <f>E15-F15</f>
        <v/>
      </c>
      <c r="H15" s="4" t="inlineStr">
        <is>
          <t>Superseded</t>
        </is>
      </c>
    </row>
    <row r="16">
      <c r="A16" s="4" t="inlineStr">
        <is>
          <t>DRAFT-09</t>
        </is>
      </c>
      <c r="B16" s="4" t="inlineStr">
        <is>
          <t>Basis allocation check</t>
        </is>
      </c>
      <c r="C16" s="6">
        <f>Assumptions!$D$16</f>
        <v/>
      </c>
      <c r="D16" s="6">
        <f>Assumptions!$D$17</f>
        <v/>
      </c>
      <c r="E16" s="8">
        <f>ROUND(C16-D16,2)</f>
        <v/>
      </c>
      <c r="F16" s="8">
        <f>Direct_Sale_Total_Gain</f>
        <v/>
      </c>
      <c r="G16" s="8">
        <f>E16-F16</f>
        <v/>
      </c>
      <c r="H16" s="4" t="inlineStr">
        <is>
          <t>Superseded</t>
        </is>
      </c>
    </row>
    <row r="17">
      <c r="A17" s="4" t="inlineStr">
        <is>
          <t>DRAFT-10</t>
        </is>
      </c>
      <c r="B17" s="4" t="inlineStr">
        <is>
          <t>Superseded gross-profit rounding</t>
        </is>
      </c>
      <c r="C17" s="6">
        <f>Assumptions!$D$16</f>
        <v/>
      </c>
      <c r="D17" s="6">
        <f>Assumptions!$D$17</f>
        <v/>
      </c>
      <c r="E17" s="8">
        <f>ROUND(C17-D17,2)</f>
        <v/>
      </c>
      <c r="F17" s="8">
        <f>Direct_Sale_Total_Gain</f>
        <v/>
      </c>
      <c r="G17" s="8">
        <f>E17-F17</f>
        <v/>
      </c>
      <c r="H17" s="4" t="inlineStr">
        <is>
          <t>Superseded</t>
        </is>
      </c>
    </row>
    <row r="18">
      <c r="A18" s="4" t="inlineStr">
        <is>
          <t>DRAFT-11</t>
        </is>
      </c>
      <c r="B18" s="4" t="inlineStr">
        <is>
          <t>Transfer-tax sensitivity</t>
        </is>
      </c>
      <c r="C18" s="6">
        <f>Assumptions!$D$16</f>
        <v/>
      </c>
      <c r="D18" s="6">
        <f>Assumptions!$D$17</f>
        <v/>
      </c>
      <c r="E18" s="8">
        <f>ROUND(C18-D18,2)</f>
        <v/>
      </c>
      <c r="F18" s="8">
        <f>Direct_Sale_Total_Gain</f>
        <v/>
      </c>
      <c r="G18" s="8">
        <f>E18-F18</f>
        <v/>
      </c>
      <c r="H18" s="4" t="inlineStr">
        <is>
          <t>Superseded</t>
        </is>
      </c>
    </row>
    <row r="19">
      <c r="A19" s="4" t="inlineStr">
        <is>
          <t>DRAFT-12</t>
        </is>
      </c>
      <c r="B19" s="4" t="inlineStr">
        <is>
          <t>Basis allocation check</t>
        </is>
      </c>
      <c r="C19" s="6">
        <f>Assumptions!$D$16</f>
        <v/>
      </c>
      <c r="D19" s="6">
        <f>Assumptions!$D$17</f>
        <v/>
      </c>
      <c r="E19" s="8">
        <f>ROUND(C19-D19,2)</f>
        <v/>
      </c>
      <c r="F19" s="8">
        <f>Direct_Sale_Total_Gain</f>
        <v/>
      </c>
      <c r="G19" s="8">
        <f>E19-F19</f>
        <v/>
      </c>
      <c r="H19" s="4" t="inlineStr">
        <is>
          <t>Superseded</t>
        </is>
      </c>
    </row>
    <row r="20">
      <c r="A20" s="4" t="inlineStr">
        <is>
          <t>DRAFT-13</t>
        </is>
      </c>
      <c r="B20" s="4" t="inlineStr">
        <is>
          <t>Superseded gross-profit rounding</t>
        </is>
      </c>
      <c r="C20" s="6">
        <f>Assumptions!$D$16</f>
        <v/>
      </c>
      <c r="D20" s="6">
        <f>Assumptions!$D$17</f>
        <v/>
      </c>
      <c r="E20" s="8">
        <f>ROUND(C20-D20,2)</f>
        <v/>
      </c>
      <c r="F20" s="8">
        <f>Direct_Sale_Total_Gain</f>
        <v/>
      </c>
      <c r="G20" s="8">
        <f>E20-F20</f>
        <v/>
      </c>
      <c r="H20" s="4" t="inlineStr">
        <is>
          <t>Superseded</t>
        </is>
      </c>
    </row>
    <row r="21">
      <c r="A21" s="4" t="inlineStr">
        <is>
          <t>DRAFT-14</t>
        </is>
      </c>
      <c r="B21" s="4" t="inlineStr">
        <is>
          <t>Transfer-tax sensitivity</t>
        </is>
      </c>
      <c r="C21" s="6">
        <f>Assumptions!$D$16</f>
        <v/>
      </c>
      <c r="D21" s="6">
        <f>Assumptions!$D$17</f>
        <v/>
      </c>
      <c r="E21" s="8">
        <f>ROUND(C21-D21,2)</f>
        <v/>
      </c>
      <c r="F21" s="8">
        <f>Direct_Sale_Total_Gain</f>
        <v/>
      </c>
      <c r="G21" s="8">
        <f>E21-F21</f>
        <v/>
      </c>
      <c r="H21" s="4" t="inlineStr">
        <is>
          <t>Superseded</t>
        </is>
      </c>
    </row>
    <row r="22">
      <c r="A22" s="4" t="inlineStr">
        <is>
          <t>DRAFT-15</t>
        </is>
      </c>
      <c r="B22" s="4" t="inlineStr">
        <is>
          <t>Basis allocation check</t>
        </is>
      </c>
      <c r="C22" s="6">
        <f>Assumptions!$D$16</f>
        <v/>
      </c>
      <c r="D22" s="6">
        <f>Assumptions!$D$17</f>
        <v/>
      </c>
      <c r="E22" s="8">
        <f>ROUND(C22-D22,2)</f>
        <v/>
      </c>
      <c r="F22" s="8">
        <f>Direct_Sale_Total_Gain</f>
        <v/>
      </c>
      <c r="G22" s="8">
        <f>E22-F22</f>
        <v/>
      </c>
      <c r="H22" s="4" t="inlineStr">
        <is>
          <t>Superseded</t>
        </is>
      </c>
    </row>
    <row r="23">
      <c r="A23" s="4" t="inlineStr">
        <is>
          <t>DRAFT-16</t>
        </is>
      </c>
      <c r="B23" s="4" t="inlineStr">
        <is>
          <t>Superseded gross-profit rounding</t>
        </is>
      </c>
      <c r="C23" s="6">
        <f>Assumptions!$D$16</f>
        <v/>
      </c>
      <c r="D23" s="6">
        <f>Assumptions!$D$17</f>
        <v/>
      </c>
      <c r="E23" s="8">
        <f>ROUND(C23-D23,2)</f>
        <v/>
      </c>
      <c r="F23" s="8">
        <f>Direct_Sale_Total_Gain</f>
        <v/>
      </c>
      <c r="G23" s="8">
        <f>E23-F23</f>
        <v/>
      </c>
      <c r="H23" s="4" t="inlineStr">
        <is>
          <t>Retained for review</t>
        </is>
      </c>
    </row>
    <row r="24">
      <c r="A24" s="4" t="inlineStr">
        <is>
          <t>DRAFT-17</t>
        </is>
      </c>
      <c r="B24" s="4" t="inlineStr">
        <is>
          <t>Transfer-tax sensitivity</t>
        </is>
      </c>
      <c r="C24" s="6">
        <f>Assumptions!$D$16</f>
        <v/>
      </c>
      <c r="D24" s="6">
        <f>Assumptions!$D$17</f>
        <v/>
      </c>
      <c r="E24" s="8">
        <f>ROUND(C24-D24,2)</f>
        <v/>
      </c>
      <c r="F24" s="8">
        <f>Direct_Sale_Total_Gain</f>
        <v/>
      </c>
      <c r="G24" s="8">
        <f>E24-F24</f>
        <v/>
      </c>
      <c r="H24" s="4" t="inlineStr">
        <is>
          <t>Retained for review</t>
        </is>
      </c>
    </row>
    <row r="25">
      <c r="A25" s="4" t="inlineStr">
        <is>
          <t>DRAFT-18</t>
        </is>
      </c>
      <c r="B25" s="4" t="inlineStr">
        <is>
          <t>Basis allocation check</t>
        </is>
      </c>
      <c r="C25" s="6">
        <f>Assumptions!$D$16</f>
        <v/>
      </c>
      <c r="D25" s="6">
        <f>Assumptions!$D$17</f>
        <v/>
      </c>
      <c r="E25" s="8">
        <f>ROUND(C25-D25,2)</f>
        <v/>
      </c>
      <c r="F25" s="8">
        <f>Direct_Sale_Total_Gain</f>
        <v/>
      </c>
      <c r="G25" s="8">
        <f>E25-F25</f>
        <v/>
      </c>
      <c r="H25" s="4" t="inlineStr">
        <is>
          <t>Retained for review</t>
        </is>
      </c>
    </row>
  </sheetData>
  <autoFilter ref="A7:H25"/>
  <mergeCells count="2">
    <mergeCell ref="A2:H2"/>
    <mergeCell ref="A1:H1"/>
  </mergeCells>
  <conditionalFormatting sqref="G8:G25">
    <cfRule type="cellIs" priority="1" operator="notEqual" dxfId="1">
      <formula>0</formula>
    </cfRule>
  </conditionalFormatting>
  <conditionalFormatting sqref="H8:H25">
    <cfRule type="expression" priority="2" dxfId="1">
      <formula>$H8="Retained for review"</formula>
    </cfRule>
  </conditionalFormatting>
  <pageMargins left="0.25" right="0.25" top="0.45" bottom="0.45" header="0.2" footer="0.2"/>
  <pageSetup orientation="landscape" fitToHeight="0" fitToWidth="1"/>
  <headerFooter>
    <oddHeader/>
    <oddFooter>&amp;CAgree Realty Corporation | Confidential Tax Planning Workpaper&amp;RPage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2026-08-13T04:54:08Z</dcterms:created>
  <dcterms:modified xmlns:dcterms="http://purl.org/dc/terms/" xmlns:xsi="http://www.w3.org/2001/XMLSchema-instance" xsi:type="dcterms:W3CDTF">2026-08-13T04:54:08Z</dcterms:modified>
</cp:coreProperties>
</file>